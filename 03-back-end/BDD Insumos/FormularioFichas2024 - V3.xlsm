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sp" ContentType="image/pn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choa\Documents\ARCHIVO PLATAFORMA NORTE\DOCS\FICHAS PARA INFORMES\2024\"/>
    </mc:Choice>
  </mc:AlternateContent>
  <xr:revisionPtr revIDLastSave="0" documentId="13_ncr:1_{058739A0-D22F-4B17-89F1-C5B510B8EC58}" xr6:coauthVersionLast="46" xr6:coauthVersionMax="46" xr10:uidLastSave="{00000000-0000-0000-0000-000000000000}"/>
  <bookViews>
    <workbookView xWindow="20370" yWindow="-120" windowWidth="21840" windowHeight="13140" xr2:uid="{00000000-000D-0000-FFFF-FFFF00000000}"/>
  </bookViews>
  <sheets>
    <sheet name="Form" sheetId="1" r:id="rId1"/>
    <sheet name="DataBase" sheetId="2" r:id="rId2"/>
    <sheet name="Lists" sheetId="3" r:id="rId3"/>
    <sheet name="Enviar" sheetId="4" r:id="rId4"/>
  </sheets>
  <definedNames>
    <definedName name="_xlnm.Print_Area" localSheetId="0">Form!$A$1:$H$34</definedName>
    <definedName name="CEDULA" localSheetId="0">Form!$C$7</definedName>
    <definedName name="FECHA" localSheetId="0">Form!$C$21</definedName>
    <definedName name="TRAMITE" localSheetId="0">Form!$C$19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4" l="1"/>
  <c r="C4" i="4"/>
  <c r="B459" i="2"/>
  <c r="F30" i="1"/>
  <c r="B2" i="4"/>
  <c r="C6" i="4" s="1"/>
  <c r="C8" i="4" l="1"/>
  <c r="C7" i="4"/>
  <c r="C5" i="4"/>
  <c r="C3" i="4"/>
  <c r="C10" i="4"/>
  <c r="C31" i="1"/>
</calcChain>
</file>

<file path=xl/sharedStrings.xml><?xml version="1.0" encoding="utf-8"?>
<sst xmlns="http://schemas.openxmlformats.org/spreadsheetml/2006/main" count="3026" uniqueCount="1427">
  <si>
    <t>DIRECCIÓN PROVINCIAL DE PICHINCHA</t>
  </si>
  <si>
    <t>OFICINA DE ATENCIÓN AL USUARIO CORDERO - PLATAFORMA NORTE</t>
  </si>
  <si>
    <t>FORMULARIO DE SOLICITUD DE FICHA DE LICENCIA</t>
  </si>
  <si>
    <t>CÉDULA:</t>
  </si>
  <si>
    <t>APELLIDOS Y NOMBRES:</t>
  </si>
  <si>
    <t>EMAIL:</t>
  </si>
  <si>
    <t>TELÉFONO CELULAR:</t>
  </si>
  <si>
    <t>TIPO DE TRÁMITE:</t>
  </si>
  <si>
    <t>CATEGORÍA:</t>
  </si>
  <si>
    <t>NÚMERO DE TRÁMITE</t>
  </si>
  <si>
    <t>USUARIO AXIS:</t>
  </si>
  <si>
    <t>FECHA DE GENERACIÓN:</t>
  </si>
  <si>
    <t>FECHA DE SOLICITUD:</t>
  </si>
  <si>
    <t>TIPOS DE TRÁMITES</t>
  </si>
  <si>
    <t>EMISIÓN DE LICENCIA POR PRIMERA VEZ</t>
  </si>
  <si>
    <t>RENOVACIÓN DE LICENCIA</t>
  </si>
  <si>
    <t>DUPLICADO DE LICENCIA</t>
  </si>
  <si>
    <t>CATEGORÍAS DE LICENCIAS</t>
  </si>
  <si>
    <t>A</t>
  </si>
  <si>
    <t>B</t>
  </si>
  <si>
    <t>C</t>
  </si>
  <si>
    <t>D</t>
  </si>
  <si>
    <t>E</t>
  </si>
  <si>
    <t>F</t>
  </si>
  <si>
    <t>G</t>
  </si>
  <si>
    <t>A1</t>
  </si>
  <si>
    <t>C1</t>
  </si>
  <si>
    <t>E1</t>
  </si>
  <si>
    <t>USR-AXIS</t>
  </si>
  <si>
    <t>HGUERRERO</t>
  </si>
  <si>
    <t>JCMUNOZ</t>
  </si>
  <si>
    <t>ESANTILLAN</t>
  </si>
  <si>
    <t>AREVELO</t>
  </si>
  <si>
    <t>VGUILLEN</t>
  </si>
  <si>
    <t>CMIELES</t>
  </si>
  <si>
    <t>INAULA</t>
  </si>
  <si>
    <t>NCANDO</t>
  </si>
  <si>
    <t>Nro.</t>
  </si>
  <si>
    <t>OBSERVACIONES:</t>
  </si>
  <si>
    <t>OBSERVACIONES</t>
  </si>
  <si>
    <t>Buscar listado validado</t>
  </si>
  <si>
    <t>Dar contestación y notificar por email</t>
  </si>
  <si>
    <t>Especie anulada por resolución 022 -DE-ANT-2022</t>
  </si>
  <si>
    <t>Especie anulada por resolución 067 -DE-ANT-2021</t>
  </si>
  <si>
    <t>CANJE DE LICENCIA</t>
  </si>
  <si>
    <t>Plazo estimado de solución: 15 días laborables</t>
  </si>
  <si>
    <r>
      <rPr>
        <b/>
        <sz val="11"/>
        <color theme="1"/>
        <rFont val="Calibri"/>
        <family val="2"/>
        <scheme val="minor"/>
      </rPr>
      <t>DECLARACIÓN</t>
    </r>
    <r>
      <rPr>
        <sz val="11"/>
        <color theme="1"/>
        <rFont val="Calibri"/>
        <family val="2"/>
        <scheme val="minor"/>
      </rPr>
      <t>.- Declaro que los datos arriba consignados son ciertos y autorizo a que los mismos sean utlizados por la ANT, a fin de que se realice la búsqueda lógica y física del expediente descrito con la finalidad de regularizar el registro de la licencia en mención en el sistema nacional de datos.
Atentamente,</t>
    </r>
  </si>
  <si>
    <t>0401535877</t>
  </si>
  <si>
    <t>GCASTRO</t>
  </si>
  <si>
    <t>VCASTRO</t>
  </si>
  <si>
    <t>XCARRERA</t>
  </si>
  <si>
    <t>MOCHOA</t>
  </si>
  <si>
    <t>EPOZON</t>
  </si>
  <si>
    <t>JPROJAS</t>
  </si>
  <si>
    <t>0701283459</t>
  </si>
  <si>
    <t>LOPEZ OCHOA LUZ DE FATIMA</t>
  </si>
  <si>
    <t>0992772863</t>
  </si>
  <si>
    <t>RVJIMENEZ</t>
  </si>
  <si>
    <t>PEREZ REVELO MISHELL MARIANA</t>
  </si>
  <si>
    <t>mishell-0804@hotmail.com</t>
  </si>
  <si>
    <t>09878989886</t>
  </si>
  <si>
    <t>Número:</t>
  </si>
  <si>
    <t>ldlfo63@hotmail.com</t>
  </si>
  <si>
    <t>1725729477</t>
  </si>
  <si>
    <t>GARZON MATUTE PATRICIO PAUL</t>
  </si>
  <si>
    <t>pauls.gm@hotmail.com</t>
  </si>
  <si>
    <t>0995533632</t>
  </si>
  <si>
    <t>EAGUAYO</t>
  </si>
  <si>
    <t>2350214942</t>
  </si>
  <si>
    <t>ZAMBRANO SOLORZANO JIMMY FERNANDO</t>
  </si>
  <si>
    <t>jimmyzambrano512@gmail.com</t>
  </si>
  <si>
    <t>0990508732</t>
  </si>
  <si>
    <t>1727317180</t>
  </si>
  <si>
    <t>CHISAGUANO TACO BRAYAN JAVIER</t>
  </si>
  <si>
    <t>GUAMAN ANGAMARCA ANTONY DAMIAN</t>
  </si>
  <si>
    <t>1724178825</t>
  </si>
  <si>
    <t>1726779265</t>
  </si>
  <si>
    <t>CHALPARIZAN CARDENAS WILSON</t>
  </si>
  <si>
    <t>0804435188</t>
  </si>
  <si>
    <t>MURILLO SOLORZANO DANILO LEONEL</t>
  </si>
  <si>
    <t>leonelmurillo2990@gmail.com</t>
  </si>
  <si>
    <t>0969693673</t>
  </si>
  <si>
    <t>1724921471</t>
  </si>
  <si>
    <t>GUERRERO POZO JORGE ANDRES</t>
  </si>
  <si>
    <t>ag939871@gmail.com</t>
  </si>
  <si>
    <t>0980662119</t>
  </si>
  <si>
    <t>1725203325</t>
  </si>
  <si>
    <t>ZAMBRANO GARCES EDWIN ORLANDO</t>
  </si>
  <si>
    <t>1752444503</t>
  </si>
  <si>
    <t>CALLE YAR JUAN DAVID</t>
  </si>
  <si>
    <t>1726933136</t>
  </si>
  <si>
    <t xml:space="preserve">DUQUE TROYA JHOEL ALEXANDER </t>
  </si>
  <si>
    <t>1714330444</t>
  </si>
  <si>
    <t>DELGADO ARBOLEDA MANUEL MARCELO</t>
  </si>
  <si>
    <t>Se solicita activar 2 licencias A y B, atendido via quipux</t>
  </si>
  <si>
    <t>1721819173</t>
  </si>
  <si>
    <t>ENDARA SOASTI CRISTIAN JAVIER</t>
  </si>
  <si>
    <t>0202261574</t>
  </si>
  <si>
    <t>SANCHEZ PENA ANGEL RODRIGO</t>
  </si>
  <si>
    <t>1708528813</t>
  </si>
  <si>
    <t>COLLANTES QUISTIAL MARIO DIEGO</t>
  </si>
  <si>
    <t>1752879229</t>
  </si>
  <si>
    <t>CUEVA ALMACHI JUAN DIEGO</t>
  </si>
  <si>
    <t>1717900698</t>
  </si>
  <si>
    <t>CARDENAS AYALA PEDRO MAURICIO</t>
  </si>
  <si>
    <t>0804266765</t>
  </si>
  <si>
    <t>MERO SUAREZ ANGEL ISAIAS</t>
  </si>
  <si>
    <t>1753501053</t>
  </si>
  <si>
    <t>GUADIR QUENAN JUAN FERNANDO</t>
  </si>
  <si>
    <t>1710455724</t>
  </si>
  <si>
    <t>CHAVEZ CAZA LUIS ALBERTO</t>
  </si>
  <si>
    <t>1727276022</t>
  </si>
  <si>
    <t>SILVA QUISHPI LUIS ESTEBAN</t>
  </si>
  <si>
    <t>1750053918</t>
  </si>
  <si>
    <t>LARA QUISHPE CARLOS ESTEBAN</t>
  </si>
  <si>
    <t>1728162510</t>
  </si>
  <si>
    <t>CUMBAL MERA ADRIAN JOSUE</t>
  </si>
  <si>
    <t>1718673096</t>
  </si>
  <si>
    <t>SALAZAR CAMUENDO LUIS HUMBERTO</t>
  </si>
  <si>
    <t>1721875944</t>
  </si>
  <si>
    <t>CASTRO LOPEZ NARDELI EPIFANIA</t>
  </si>
  <si>
    <t>1724934623</t>
  </si>
  <si>
    <t>AMORES CARUA JHONATAN JAVIER</t>
  </si>
  <si>
    <t>1726369604</t>
  </si>
  <si>
    <t>SALGADO FERNANDEZ MATEO ALEJANDRO</t>
  </si>
  <si>
    <t>1726542416</t>
  </si>
  <si>
    <t>1720069309</t>
  </si>
  <si>
    <t>PANCHI GUTIERREZ JUAN GABRIEL</t>
  </si>
  <si>
    <t>0503134090</t>
  </si>
  <si>
    <t>ROCHA TENELEMA ANGEL MIGUEL</t>
  </si>
  <si>
    <t>1250186440</t>
  </si>
  <si>
    <t>GARCIA LOOR WASHINGTON ENRIQUE</t>
  </si>
  <si>
    <t>1712943669</t>
  </si>
  <si>
    <t>MARTINEZ CORAL MARSAL PATRICIO</t>
  </si>
  <si>
    <t>YANGUA CORREA CHRISTIAN LEONARDO</t>
  </si>
  <si>
    <t>chris.yangua@gmail.com</t>
  </si>
  <si>
    <t>BENALCAZAR SERRANO MILTON DAVID</t>
  </si>
  <si>
    <t>ratonjunior_217@hotmail.com</t>
  </si>
  <si>
    <t>0993204512</t>
  </si>
  <si>
    <t>1725883803</t>
  </si>
  <si>
    <t>PEREZ UZHCA ALEJANDRO GABRIEL</t>
  </si>
  <si>
    <t>Pivot</t>
  </si>
  <si>
    <t>_NRO_</t>
  </si>
  <si>
    <t>_NOM_</t>
  </si>
  <si>
    <t>_LIC_</t>
  </si>
  <si>
    <t>_CED_</t>
  </si>
  <si>
    <t>_TRA_</t>
  </si>
  <si>
    <t>_NUM_</t>
  </si>
  <si>
    <t>_FEC_</t>
  </si>
  <si>
    <t>_USR_</t>
  </si>
  <si>
    <t>PASTUÑA LOPEZ JORDY DANIEL</t>
  </si>
  <si>
    <t>jordypas0707@hotmail.com</t>
  </si>
  <si>
    <t>0992699339</t>
  </si>
  <si>
    <t>0707313961</t>
  </si>
  <si>
    <t>FERNANDEZ MORAN DUVIER REINEL</t>
  </si>
  <si>
    <t>eduvier_ronaldo1997@outlook.com</t>
  </si>
  <si>
    <t>0999178192</t>
  </si>
  <si>
    <t>1718947623</t>
  </si>
  <si>
    <t>BAILON BAILON MARIA JOSE</t>
  </si>
  <si>
    <t>majobailon17@gmail.com</t>
  </si>
  <si>
    <t>0980859492</t>
  </si>
  <si>
    <t>1755177274</t>
  </si>
  <si>
    <t>SUAREZ VILLARREAL ANTHONY SAMIR</t>
  </si>
  <si>
    <t>samirsuarez2004@gmail.com</t>
  </si>
  <si>
    <t>0961424869</t>
  </si>
  <si>
    <t>1724834997</t>
  </si>
  <si>
    <t>MALKY JAGZURY MORENO TUABANDA</t>
  </si>
  <si>
    <t>malkytua2000@gmail.com</t>
  </si>
  <si>
    <t>0983955580</t>
  </si>
  <si>
    <t>1722317730</t>
  </si>
  <si>
    <t>RAMOS ACOSTA PABLO ANDRES</t>
  </si>
  <si>
    <t>ramos.pablo.20@gmail.com</t>
  </si>
  <si>
    <t>0979185338</t>
  </si>
  <si>
    <t>1726027327</t>
  </si>
  <si>
    <t>LOPEZ TROYA GIOVANNY JAVIER</t>
  </si>
  <si>
    <t>giova-199305@hotmail.com</t>
  </si>
  <si>
    <t>0994015342</t>
  </si>
  <si>
    <t>1725092520</t>
  </si>
  <si>
    <t>ROSERO MARQUEZ MIGUEL ANGEL</t>
  </si>
  <si>
    <t>bluezpiloco@hotmail.com</t>
  </si>
  <si>
    <t>0994695918</t>
  </si>
  <si>
    <t>HOMOLOGACIÓN DE LICENCIA</t>
  </si>
  <si>
    <t>1757591357</t>
  </si>
  <si>
    <t>BARON RODRIGUEZ JOEL DE JESUS</t>
  </si>
  <si>
    <t>jdjbaron@gmail.com</t>
  </si>
  <si>
    <t>0958825588</t>
  </si>
  <si>
    <t>1150800280</t>
  </si>
  <si>
    <t>SARANGO CHUQUIRIMA ANTHONY VICENTE</t>
  </si>
  <si>
    <t>anthonysarango0@gmail.com</t>
  </si>
  <si>
    <t>0984339854</t>
  </si>
  <si>
    <t>SALAS QUIJADA MIGUEL ANGEL</t>
  </si>
  <si>
    <t>1758070641</t>
  </si>
  <si>
    <t>miguel.salasq@gmail.com</t>
  </si>
  <si>
    <t>0999845853</t>
  </si>
  <si>
    <t>1718364936</t>
  </si>
  <si>
    <t>AGUILAR MEDINA ALEXIS WLADIMIR</t>
  </si>
  <si>
    <t>alexisaguilar96@hotmail.com</t>
  </si>
  <si>
    <t>0999999999</t>
  </si>
  <si>
    <t>1725213449</t>
  </si>
  <si>
    <t>ZAMBRANO MENA ANDERSON JOSE</t>
  </si>
  <si>
    <t>ZAMBRANOANDERSON72@gmail.com</t>
  </si>
  <si>
    <t>097901975</t>
  </si>
  <si>
    <t>TOMALO CAIZA MARLON PAVEL</t>
  </si>
  <si>
    <t>1754335972</t>
  </si>
  <si>
    <t>tomalomarlon2@gmail.com</t>
  </si>
  <si>
    <t>0984023276</t>
  </si>
  <si>
    <t>1726409442</t>
  </si>
  <si>
    <t>MEJIA ELIZALDE DONOVAN GIOVANNY</t>
  </si>
  <si>
    <t>donovanldumb@gmail.com</t>
  </si>
  <si>
    <t>TITUAÑA PILAPAÑA MIREYA IVONNE</t>
  </si>
  <si>
    <t>miretitu_26@hotmail.com</t>
  </si>
  <si>
    <t>1313970269</t>
  </si>
  <si>
    <t>GIRALDO RIVERA ALEXIS EDUARDO</t>
  </si>
  <si>
    <t>TOAPANTA JARAMILLO CHRISTIAN HERNAN</t>
  </si>
  <si>
    <t>1713744108</t>
  </si>
  <si>
    <t>info.macromedios@gmail.com</t>
  </si>
  <si>
    <t>0982514186</t>
  </si>
  <si>
    <t>1712365582</t>
  </si>
  <si>
    <t>MERINO IDROBO JUAN PABLO</t>
  </si>
  <si>
    <t>merino_pablo@hotmail.com</t>
  </si>
  <si>
    <t>1721852141</t>
  </si>
  <si>
    <t>GUALLICHICO CASAMI WLADIMIR ALEXANDER</t>
  </si>
  <si>
    <t>wladyalex61@gmail.com</t>
  </si>
  <si>
    <t>0983751578</t>
  </si>
  <si>
    <t>1718273103</t>
  </si>
  <si>
    <t>TUMIPAMBA ORTIZ VLADIMIR PATRICIO</t>
  </si>
  <si>
    <t>patriciotumipamba@gmail.com</t>
  </si>
  <si>
    <t>0983359811</t>
  </si>
  <si>
    <t>1723685507</t>
  </si>
  <si>
    <t>JUNA POZO SANDRA PAOLA</t>
  </si>
  <si>
    <t>paojuna@hotmail.com</t>
  </si>
  <si>
    <t>0983444777</t>
  </si>
  <si>
    <t>1755529961</t>
  </si>
  <si>
    <t>NICOLALDE TITUAÑA SANTIAGO FERNANDO</t>
  </si>
  <si>
    <t>santiagonicolalde183@gmail.com</t>
  </si>
  <si>
    <t>AMACIASR</t>
  </si>
  <si>
    <t>ESTRELLA ORTIZ SEBASTIAN ISRAEL</t>
  </si>
  <si>
    <t>1724780042</t>
  </si>
  <si>
    <t>sebas.star2112@gmail.com</t>
  </si>
  <si>
    <t>0998005454</t>
  </si>
  <si>
    <t>PLAZA ROJAS CARLOS EDUARDO</t>
  </si>
  <si>
    <t>1757371347</t>
  </si>
  <si>
    <t>carlosplaza0103@gmail.com</t>
  </si>
  <si>
    <t>0995337138</t>
  </si>
  <si>
    <t>OHUERTAS</t>
  </si>
  <si>
    <t>NASPUD CAJAMARCA GABRIEL ALEJANDRO</t>
  </si>
  <si>
    <t>1724303159</t>
  </si>
  <si>
    <t>anaspud40@gmail.com</t>
  </si>
  <si>
    <t>0984096081</t>
  </si>
  <si>
    <t>1722709753</t>
  </si>
  <si>
    <t>HERRERA HERRERA PATRICIO ALEXANDER</t>
  </si>
  <si>
    <t>patricio.hr11@hotmail.com</t>
  </si>
  <si>
    <t>0939252621</t>
  </si>
  <si>
    <t>1717869802</t>
  </si>
  <si>
    <t>CHAUCA TIXE SILVIA EUFEMIA</t>
  </si>
  <si>
    <t>silvia.chauca.t@gmail.com</t>
  </si>
  <si>
    <t>0983192740</t>
  </si>
  <si>
    <t>CAMBIO DE CATEGORIA B A F</t>
  </si>
  <si>
    <t>1724155633</t>
  </si>
  <si>
    <t>GODOY LOZADA ALEJANDRO JAVIER</t>
  </si>
  <si>
    <t>alejinhoe@gmail.com</t>
  </si>
  <si>
    <t>0982871089</t>
  </si>
  <si>
    <t>ESCOBAR SILVA JONATHAN ANDRES</t>
  </si>
  <si>
    <t>jandresescobars@gmail.com</t>
  </si>
  <si>
    <t>0996573276</t>
  </si>
  <si>
    <t>FLORES SOTO ANTONY JOEL</t>
  </si>
  <si>
    <t>Corregido apellido materno 19-02-2024 nro. ANT-DTHAB-2024-0462-M</t>
  </si>
  <si>
    <t>ERAZO ORTIZ OSWALDO LEONIDAS</t>
  </si>
  <si>
    <t>oswaldoerazo139@gmail.com</t>
  </si>
  <si>
    <t>0989652080</t>
  </si>
  <si>
    <t>NO PROCEDE, LISTADO Y DOCUMENTACIÓN</t>
  </si>
  <si>
    <t>SANCHEZ MARTINEZ JOSELYN KARINA</t>
  </si>
  <si>
    <t>1718802109</t>
  </si>
  <si>
    <t>kary2679.sm@gmail.com</t>
  </si>
  <si>
    <t>1759788597</t>
  </si>
  <si>
    <t>MORENO JEREZ JOSE ALI</t>
  </si>
  <si>
    <t>rojasdario72@yahoo.com</t>
  </si>
  <si>
    <t>1720439346</t>
  </si>
  <si>
    <t>OÑA VILATUÑA DANIEL OSWALDO</t>
  </si>
  <si>
    <t>XXXXXXXX</t>
  </si>
  <si>
    <t>099999999</t>
  </si>
  <si>
    <t>10-20-2023</t>
  </si>
  <si>
    <t>1756037717</t>
  </si>
  <si>
    <t>PANDASHINA CHARRO BRYAN ANDRES</t>
  </si>
  <si>
    <t>bryanandrespandashina@gmail.com</t>
  </si>
  <si>
    <t>0939045335</t>
  </si>
  <si>
    <t>1716658347</t>
  </si>
  <si>
    <t>VALENCIA ESPINOZA JORGE LISIMACO</t>
  </si>
  <si>
    <t>mafa82411@gmail.com</t>
  </si>
  <si>
    <t>0999371487</t>
  </si>
  <si>
    <t>1754495123</t>
  </si>
  <si>
    <t>VARELA CHICA EDISON RUBEN</t>
  </si>
  <si>
    <t>canalvideos963@gmail.com</t>
  </si>
  <si>
    <t>0983283742</t>
  </si>
  <si>
    <t>1717591380</t>
  </si>
  <si>
    <t>PINZON QUEZADA DIEGO FERNANDO</t>
  </si>
  <si>
    <t>diegopinzonquezada@gmail.com</t>
  </si>
  <si>
    <t>0989040905</t>
  </si>
  <si>
    <t>Dado de baja por segunda vez</t>
  </si>
  <si>
    <t>1712629458</t>
  </si>
  <si>
    <t>ALDAZ CASANOVA JONNATTAN DANIEL</t>
  </si>
  <si>
    <t>aldaz_daniel@hotmail.com</t>
  </si>
  <si>
    <t>0999008492</t>
  </si>
  <si>
    <t>Notificar por Quipux</t>
  </si>
  <si>
    <t>1728171099</t>
  </si>
  <si>
    <t>IBAÑEZ TIVAN BRYAN JAVIER</t>
  </si>
  <si>
    <t>javieribaez269@gmail.com</t>
  </si>
  <si>
    <t>1751226679</t>
  </si>
  <si>
    <t>MOREJON CHIMBAES LUIS ALEJANDRO</t>
  </si>
  <si>
    <t>luisfreeja@gmail.com</t>
  </si>
  <si>
    <t>0999105794</t>
  </si>
  <si>
    <t>1726730128</t>
  </si>
  <si>
    <t>REMACHE GUILCAJANA JUAN FERNANDO</t>
  </si>
  <si>
    <t>ferchow122@gmail.com</t>
  </si>
  <si>
    <t>0968169469</t>
  </si>
  <si>
    <t>0401700976</t>
  </si>
  <si>
    <t>CIFUENTES MENDOZA BRANDON STEVEN</t>
  </si>
  <si>
    <t>bcifu34@gmail.com</t>
  </si>
  <si>
    <t>0982514899</t>
  </si>
  <si>
    <t>1727684696</t>
  </si>
  <si>
    <t>VALENCIA POVEA BRANDON ALEXANDER</t>
  </si>
  <si>
    <t>valenciabrandon08@gmail.com</t>
  </si>
  <si>
    <t>0990542818</t>
  </si>
  <si>
    <t>0106012784</t>
  </si>
  <si>
    <t>TALLANA CASTRO KEVIN ALBERTO</t>
  </si>
  <si>
    <t>tallana12kevin@hotmail.com</t>
  </si>
  <si>
    <t>0993209887</t>
  </si>
  <si>
    <t>1724582620</t>
  </si>
  <si>
    <t>ROSERO SANCHEZ ESTALIN FRANCISCO</t>
  </si>
  <si>
    <t>Pancho.W@outlook.com</t>
  </si>
  <si>
    <t>0961652381</t>
  </si>
  <si>
    <t>1725123424</t>
  </si>
  <si>
    <t>CASTILLO SALINAS ALEXANDER JAVIER</t>
  </si>
  <si>
    <t>jcastillosali1997@gmail.com</t>
  </si>
  <si>
    <t>0995847028</t>
  </si>
  <si>
    <t>1723603815</t>
  </si>
  <si>
    <t>GUACHAMIN TORRES ERICK ANDRES</t>
  </si>
  <si>
    <t>erickandrexz@gmail.com</t>
  </si>
  <si>
    <t>0999704564</t>
  </si>
  <si>
    <t>1720144060</t>
  </si>
  <si>
    <t>ORTIZ DAVILA LEONARDO DAVID</t>
  </si>
  <si>
    <t>cirleo90@gmail.com</t>
  </si>
  <si>
    <t>0962951436</t>
  </si>
  <si>
    <t>1714300504</t>
  </si>
  <si>
    <t>GAVILANES GARZON HOLGER ENRIQUE</t>
  </si>
  <si>
    <t>holger89@hotmail.com</t>
  </si>
  <si>
    <t>0993994372</t>
  </si>
  <si>
    <t>1720399664</t>
  </si>
  <si>
    <t>MAZA ROMERO WILSON JAVIER</t>
  </si>
  <si>
    <t>wilson148507@hotmail.com</t>
  </si>
  <si>
    <t>0981385822</t>
  </si>
  <si>
    <t>FREIRE BUSTOS LUIS FELIPE</t>
  </si>
  <si>
    <t>1710246818</t>
  </si>
  <si>
    <t>luisito.36@hotmail.com</t>
  </si>
  <si>
    <t>0984711634</t>
  </si>
  <si>
    <t>LEMA RIVERA MATEO SEBASTIAN</t>
  </si>
  <si>
    <t>1725430639</t>
  </si>
  <si>
    <t>mateosebastianlema@gmail.com</t>
  </si>
  <si>
    <t>0962790229</t>
  </si>
  <si>
    <t>1726055468</t>
  </si>
  <si>
    <t>YEPEZ QUIGUANGO DIEGO DAVID</t>
  </si>
  <si>
    <t>diegoescol@hotmail.com</t>
  </si>
  <si>
    <t>0991895852</t>
  </si>
  <si>
    <t>1723727127</t>
  </si>
  <si>
    <t>PATIÑO RAMIREZ GIOVANNY FERNANDO</t>
  </si>
  <si>
    <t>ferna2684@gmail.com</t>
  </si>
  <si>
    <t>0964002241</t>
  </si>
  <si>
    <t>1725322695</t>
  </si>
  <si>
    <t>CARGUA YUCAILLA CESAR AUGUSTO</t>
  </si>
  <si>
    <t>cesarcargua@outlook.com</t>
  </si>
  <si>
    <t>0985320171</t>
  </si>
  <si>
    <t>0804462992</t>
  </si>
  <si>
    <t>CAGUA HERRERA JOSE IVAN</t>
  </si>
  <si>
    <t>lertaguay21@gmail.com</t>
  </si>
  <si>
    <t/>
  </si>
  <si>
    <t>0202468575</t>
  </si>
  <si>
    <t>GUARANDA GUARANDA SEGUNDO</t>
  </si>
  <si>
    <t>danielguaranda75@gmail.com</t>
  </si>
  <si>
    <t>0939809904</t>
  </si>
  <si>
    <t>1718823162</t>
  </si>
  <si>
    <t>CARDENAS SUMBA MILTON PATRICIO</t>
  </si>
  <si>
    <t>miltonpatocarde@hotmail.com</t>
  </si>
  <si>
    <t>0959071669</t>
  </si>
  <si>
    <t>1720346798</t>
  </si>
  <si>
    <t>CONDE GRANDA PAMELA ESTEFANIA</t>
  </si>
  <si>
    <t>stefy_belen20@hotmail.com</t>
  </si>
  <si>
    <t>0979398136</t>
  </si>
  <si>
    <t>1750051334</t>
  </si>
  <si>
    <t>ANDRADE ARGUDO ADRIAN MARCELO</t>
  </si>
  <si>
    <t>chelo_andrade77@hotmail.com</t>
  </si>
  <si>
    <t>0998923071</t>
  </si>
  <si>
    <t>1754438636</t>
  </si>
  <si>
    <t>PANATA VASQUEZ KEVIN IVAN  </t>
  </si>
  <si>
    <t>kevinpanata@hotmail.com</t>
  </si>
  <si>
    <t>0987330914</t>
  </si>
  <si>
    <t>1718302589</t>
  </si>
  <si>
    <t>PORTUGAL TEJADA DIEGO ARMANDO</t>
  </si>
  <si>
    <t>portugalmort88@gmail.com</t>
  </si>
  <si>
    <t>0999920815</t>
  </si>
  <si>
    <t>1717666489</t>
  </si>
  <si>
    <t>PILLAJO CAIZA EDWIN PATRICIO</t>
  </si>
  <si>
    <t>patrick.epc@hotmail.com</t>
  </si>
  <si>
    <t>0983781317</t>
  </si>
  <si>
    <t>OTTO TIGASI JOSE AGUSTIN</t>
  </si>
  <si>
    <t>0503443483</t>
  </si>
  <si>
    <t>multicellquito@gmail.com</t>
  </si>
  <si>
    <t>0201383593</t>
  </si>
  <si>
    <t>IZA ZAPATA SEGUNDO FLORENCIO</t>
  </si>
  <si>
    <t>segundoiza2233@gmail.com</t>
  </si>
  <si>
    <t>0994490237</t>
  </si>
  <si>
    <t>1726843368</t>
  </si>
  <si>
    <t>MULLO DE LA CRUZ STEEVEN JHOEL</t>
  </si>
  <si>
    <t>jhoelmullo18@gmail.com</t>
  </si>
  <si>
    <t>0989886919</t>
  </si>
  <si>
    <t>1753668639</t>
  </si>
  <si>
    <t>AGUIRRE RIVERA DAVID SALOMON</t>
  </si>
  <si>
    <t>davidsalomon2003ri@gmail.com</t>
  </si>
  <si>
    <t>0961993344</t>
  </si>
  <si>
    <t>1726026832</t>
  </si>
  <si>
    <t>CHACHA PASTO CARLOS ALBERTO</t>
  </si>
  <si>
    <t>jadenchacha20@gmail.com</t>
  </si>
  <si>
    <t>0969446887</t>
  </si>
  <si>
    <t>ESPAÑA PRATO RIGOBERTO JOSE</t>
  </si>
  <si>
    <t>1757945280</t>
  </si>
  <si>
    <t>ortodonciayortopedia@gmail.com</t>
  </si>
  <si>
    <t>0984054526</t>
  </si>
  <si>
    <t>1719742882</t>
  </si>
  <si>
    <t>TRUJILLO BARRIONUEVO ERICK ALEJANDRO</t>
  </si>
  <si>
    <t>erick.trujillo629838@gmail.com</t>
  </si>
  <si>
    <t>0994200343</t>
  </si>
  <si>
    <t>1752239606</t>
  </si>
  <si>
    <t>FLORES MENDOZA JUAN ANDRES</t>
  </si>
  <si>
    <t>juano.andres@outlook.com</t>
  </si>
  <si>
    <t>0999133956</t>
  </si>
  <si>
    <t>1716119183</t>
  </si>
  <si>
    <t>PINTO PAUCAR JUAN JOSE</t>
  </si>
  <si>
    <t>juanjosecachorrito@hotmail.com</t>
  </si>
  <si>
    <t>0960458133</t>
  </si>
  <si>
    <t>1721767240</t>
  </si>
  <si>
    <t>DELGADO VASQUEZ JOSE MARTIN</t>
  </si>
  <si>
    <t>jmartindeva@gmail.com</t>
  </si>
  <si>
    <t>0997235659</t>
  </si>
  <si>
    <t>1756358386</t>
  </si>
  <si>
    <t>COTES SANTIAGO WILLFREN ARSENIO</t>
  </si>
  <si>
    <t>willfrencotes@gmail.com</t>
  </si>
  <si>
    <t>0995136308</t>
  </si>
  <si>
    <t>PQUINTANA</t>
  </si>
  <si>
    <t>1900526367</t>
  </si>
  <si>
    <t>BANEGAS TORRES YADIRA PAOLA</t>
  </si>
  <si>
    <t>paopaoyadi@gmail.com</t>
  </si>
  <si>
    <t>0939816458</t>
  </si>
  <si>
    <t>0401608336</t>
  </si>
  <si>
    <t>PUSDA QUIROZ CARLOS ANDRES</t>
  </si>
  <si>
    <t>pusdaandres160@gmail.com</t>
  </si>
  <si>
    <t>0958996724</t>
  </si>
  <si>
    <t>1755025630</t>
  </si>
  <si>
    <t>QUISHPI ARIAS ESTEFANO JOSIAS</t>
  </si>
  <si>
    <t>estefanoquishpi8@gmail.com</t>
  </si>
  <si>
    <t>0963660015</t>
  </si>
  <si>
    <t>1753520780</t>
  </si>
  <si>
    <t>TOAQUIZA IZA JONATHAN FABRICIO</t>
  </si>
  <si>
    <t>toaquizafabricio@gmail.com</t>
  </si>
  <si>
    <t>0991620397</t>
  </si>
  <si>
    <t>1727017319</t>
  </si>
  <si>
    <t>HERRERA TOAQUIZA JUAN XAVIER</t>
  </si>
  <si>
    <t>juan93xherrera@gmail.com</t>
  </si>
  <si>
    <t>0984456758</t>
  </si>
  <si>
    <t>1150540845</t>
  </si>
  <si>
    <t>SARANGO CONDOLO ALEX EFRAIN</t>
  </si>
  <si>
    <t>neymarjrsarango16@gmail.com</t>
  </si>
  <si>
    <t>0992853607</t>
  </si>
  <si>
    <t>1724552482</t>
  </si>
  <si>
    <t>MORALES RODRIGUEZ JUAN MARTIN</t>
  </si>
  <si>
    <t>jmmr002@yahoo.com</t>
  </si>
  <si>
    <t>0984995461</t>
  </si>
  <si>
    <t>1750279919</t>
  </si>
  <si>
    <t>RENGEL PAREDES ANA VICTORIA</t>
  </si>
  <si>
    <t>vicky.regel.2004@gmail.com</t>
  </si>
  <si>
    <t>0995601943</t>
  </si>
  <si>
    <t>1750312652</t>
  </si>
  <si>
    <t>UVIDIA PAREDES BRIGITTE KATHERINE</t>
  </si>
  <si>
    <t>gatitabrigitte@gmail.com</t>
  </si>
  <si>
    <t>0997683850</t>
  </si>
  <si>
    <t>1755240833</t>
  </si>
  <si>
    <t>GAVILANEZ VALDIVIEZO JESSICA DAYANNA</t>
  </si>
  <si>
    <t>jessicadayannagv@gmail.com</t>
  </si>
  <si>
    <t>0983202523</t>
  </si>
  <si>
    <t>1720532736</t>
  </si>
  <si>
    <t>HEREDIA COELLO ANTONIO OMAR</t>
  </si>
  <si>
    <t>thony-1810@hotmail.com</t>
  </si>
  <si>
    <t>09xxxxxxxx</t>
  </si>
  <si>
    <t>1724991672</t>
  </si>
  <si>
    <t>QUIZHPILEMA LOOR JORGE LUIS</t>
  </si>
  <si>
    <t>loorjql@hotmail.com</t>
  </si>
  <si>
    <t>0986630518</t>
  </si>
  <si>
    <t>1003301197</t>
  </si>
  <si>
    <t>ZAMORA GUAMIALAMA WILMER ANDRES</t>
  </si>
  <si>
    <t>andreszamorawz@hotmail.com</t>
  </si>
  <si>
    <t>0999254305</t>
  </si>
  <si>
    <t>1708528771</t>
  </si>
  <si>
    <t>CARRERA GONZALEZ VINICIO FERNANDO</t>
  </si>
  <si>
    <t>fercar01@yahoo.com</t>
  </si>
  <si>
    <t>0998145604</t>
  </si>
  <si>
    <t>1722306451</t>
  </si>
  <si>
    <t>ROS SALAZAR NICOLAS JOSEP</t>
  </si>
  <si>
    <t>nicolasros1805@gmail.com</t>
  </si>
  <si>
    <t>0988314202</t>
  </si>
  <si>
    <t>1712136397</t>
  </si>
  <si>
    <t>BARRETO MENDEZ GUSTAVO PATRICIO</t>
  </si>
  <si>
    <t>0500202098</t>
  </si>
  <si>
    <t>CAJAS CAJAS LUIS OCTAVIO</t>
  </si>
  <si>
    <t>octaviodon778@gmail.com</t>
  </si>
  <si>
    <t>0981562975</t>
  </si>
  <si>
    <t>PANTA VILLEGA DEIVIS JAVIER</t>
  </si>
  <si>
    <t>0804428514</t>
  </si>
  <si>
    <t>malexandra2014@hotmail.com</t>
  </si>
  <si>
    <t>0987101626</t>
  </si>
  <si>
    <t>0941651226</t>
  </si>
  <si>
    <t>IMBAQUINGO ITAZ BRYAN DANIEL</t>
  </si>
  <si>
    <t>1712867850</t>
  </si>
  <si>
    <t>TOAPANTA LOPEZ CRISTOBAL</t>
  </si>
  <si>
    <t>CAMBIO DE CATEGORIA E a F</t>
  </si>
  <si>
    <t>1728771666</t>
  </si>
  <si>
    <t>PAILLACHO RIVERA JENNIFER SILVANA</t>
  </si>
  <si>
    <t>edgarpaillacho86@gmail.com</t>
  </si>
  <si>
    <t>0939065699</t>
  </si>
  <si>
    <t>1722908512</t>
  </si>
  <si>
    <t>GARCIA SANDOVAL MARIA EMILIA</t>
  </si>
  <si>
    <t>maemi.garcia2412@gmail.com</t>
  </si>
  <si>
    <t>0981391927</t>
  </si>
  <si>
    <t>1315227155</t>
  </si>
  <si>
    <t>ALCIVAR MACAY LUIS AGUSTÍN</t>
  </si>
  <si>
    <t>luisagustinalcivarmacay@gmail.com</t>
  </si>
  <si>
    <t>0991306760</t>
  </si>
  <si>
    <t>1726171869</t>
  </si>
  <si>
    <t>PEREZ MURILLO ERICK ANDRES</t>
  </si>
  <si>
    <t>erick-perez1997@hotmail.com</t>
  </si>
  <si>
    <t>0993228966</t>
  </si>
  <si>
    <t>1751305473</t>
  </si>
  <si>
    <t>MUÑOZ BORJA DAMIAN JOEL</t>
  </si>
  <si>
    <t>pituketeclass@gmail.com</t>
  </si>
  <si>
    <t>0998202361</t>
  </si>
  <si>
    <t>1204507428</t>
  </si>
  <si>
    <t>SALAZAR FRANCO LUIS ELOY</t>
  </si>
  <si>
    <t>go18les@gmail.com</t>
  </si>
  <si>
    <t>0978721674</t>
  </si>
  <si>
    <t>1316290210</t>
  </si>
  <si>
    <t>GRACIA ALCIVAR JULIO ALFREDO</t>
  </si>
  <si>
    <t>juliogracia688@gmail.com</t>
  </si>
  <si>
    <t>0995687300</t>
  </si>
  <si>
    <t>0980261761</t>
  </si>
  <si>
    <t>stefano.guanuna7776@utc.edu.ec</t>
  </si>
  <si>
    <t>GUAÑUNA ZAMORA STEFANO DANILO</t>
  </si>
  <si>
    <t>1725097776</t>
  </si>
  <si>
    <t>1755604772</t>
  </si>
  <si>
    <t>NAZATE TAMAY MARCOS SALOMON</t>
  </si>
  <si>
    <t>marcosnazate267@gmail.com</t>
  </si>
  <si>
    <t>0981570385</t>
  </si>
  <si>
    <t>1727270348</t>
  </si>
  <si>
    <t>alexandermir@hotmail.com.ar</t>
  </si>
  <si>
    <t>MIR CANGO ALEXANDER GIOVANI</t>
  </si>
  <si>
    <t>0979129537</t>
  </si>
  <si>
    <t>1726264342</t>
  </si>
  <si>
    <t>TOAPANTA OVIEDO KEYERMAN ALEXANDER</t>
  </si>
  <si>
    <t>keyermant11@gmail.com</t>
  </si>
  <si>
    <t>0987020075</t>
  </si>
  <si>
    <t>1721229407</t>
  </si>
  <si>
    <t>TAPIA PEREZ JOHNY LEONEL</t>
  </si>
  <si>
    <t>leo-metal16@hotmail.com</t>
  </si>
  <si>
    <t>0991730845</t>
  </si>
  <si>
    <t>SEGURA HERRERA GABRIEL NICOLAS</t>
  </si>
  <si>
    <t>1721483988</t>
  </si>
  <si>
    <t>nicksure09@hotmail.com</t>
  </si>
  <si>
    <t>0987411718</t>
  </si>
  <si>
    <t>1727637751</t>
  </si>
  <si>
    <t>QUISILEMA CAJAS BRYAN STEVEEN</t>
  </si>
  <si>
    <t>bcajas8@gmail.com</t>
  </si>
  <si>
    <t>0981392737</t>
  </si>
  <si>
    <t>1721301909</t>
  </si>
  <si>
    <t>BENAVIDES QUINTANA CAMILA MICAELA</t>
  </si>
  <si>
    <t>guidobena@hotmail.es</t>
  </si>
  <si>
    <t>0993703940</t>
  </si>
  <si>
    <t>1726666132</t>
  </si>
  <si>
    <t>LEITON REINA KEVIN ALEXANDER</t>
  </si>
  <si>
    <t>castulo.leiton@hotmail.com</t>
  </si>
  <si>
    <t>0987831869</t>
  </si>
  <si>
    <t>1704744026</t>
  </si>
  <si>
    <t>CHANGO SEGOVIA SEGUNDO AVELARDO</t>
  </si>
  <si>
    <t>csecoth15@yahoo.es</t>
  </si>
  <si>
    <t>0997992973</t>
  </si>
  <si>
    <t>AFLORES</t>
  </si>
  <si>
    <t>1750150409</t>
  </si>
  <si>
    <t>CALAHORRANO CHAUCA FRANKLIN ALEXANDER</t>
  </si>
  <si>
    <t>alexandercalahorrano@icloud.com</t>
  </si>
  <si>
    <t>0998451863</t>
  </si>
  <si>
    <t>1728781566</t>
  </si>
  <si>
    <t>TOLEDO SUAREZ CARLOS ERNESTO</t>
  </si>
  <si>
    <t>carlostoledosuarez2001@gmail.xom</t>
  </si>
  <si>
    <t>0980939916</t>
  </si>
  <si>
    <t>1729130227</t>
  </si>
  <si>
    <t>CARRERA CARRASCO BRYAN ALEXANDER</t>
  </si>
  <si>
    <t>bryancarrera059@gmail.com</t>
  </si>
  <si>
    <t>0994807578</t>
  </si>
  <si>
    <t>1727262261</t>
  </si>
  <si>
    <t>0979106168</t>
  </si>
  <si>
    <t>IBARRA CUADRADO HENRY PAUL</t>
  </si>
  <si>
    <t>mait.paull96@gmail.com</t>
  </si>
  <si>
    <t>1753056835</t>
  </si>
  <si>
    <t>PANISSA MATA STEFANO</t>
  </si>
  <si>
    <t>stefanomail777@gmail.com</t>
  </si>
  <si>
    <t>0983871782</t>
  </si>
  <si>
    <t>1717873978</t>
  </si>
  <si>
    <t>VELASCO VERDEZOTO ALISSON MISHELL</t>
  </si>
  <si>
    <t>econduvial@gmail.com</t>
  </si>
  <si>
    <t>0959649503</t>
  </si>
  <si>
    <t>1718559741</t>
  </si>
  <si>
    <t>MALDONADO MORALES MIGUEL ANDRES</t>
  </si>
  <si>
    <t>0978683396</t>
  </si>
  <si>
    <t>esti91_@hotmail.com</t>
  </si>
  <si>
    <t>1725307266</t>
  </si>
  <si>
    <t xml:space="preserve">PROAÑO CORONEL ANGELICA ELIZABETH  </t>
  </si>
  <si>
    <t>elizabethproanocoronel@gmail.com</t>
  </si>
  <si>
    <t>0958620801</t>
  </si>
  <si>
    <t>1728920909</t>
  </si>
  <si>
    <t>ABAD ARMIJOS JOSE ANDRES</t>
  </si>
  <si>
    <t>andresabad035@gmail.com</t>
  </si>
  <si>
    <t>0998021565</t>
  </si>
  <si>
    <t>1314162957</t>
  </si>
  <si>
    <t>ZAMBRANO VARELA JEFFERSON CARLOS</t>
  </si>
  <si>
    <t>jecazantony@hotmail.com</t>
  </si>
  <si>
    <t>0995763664</t>
  </si>
  <si>
    <t>1713297065</t>
  </si>
  <si>
    <t>CUICHAN SIVITANGA ANTONIO FRANCISCO</t>
  </si>
  <si>
    <t>afctony69@hotmail.com</t>
  </si>
  <si>
    <t>0992641411</t>
  </si>
  <si>
    <t>1720827094</t>
  </si>
  <si>
    <t>PINGOS REMACHE WALTER JOSE</t>
  </si>
  <si>
    <t>walterdj-2012@hotmail.com</t>
  </si>
  <si>
    <t>0995712255</t>
  </si>
  <si>
    <t>1725717381</t>
  </si>
  <si>
    <t>ILLESCAS ENRIQUEZ FRANKLIN FERNANDO</t>
  </si>
  <si>
    <t>frank-08@hotmail.com</t>
  </si>
  <si>
    <t>0999690407</t>
  </si>
  <si>
    <t>1715471833</t>
  </si>
  <si>
    <t>CARDENAS PARRENO MARIA ELENA</t>
  </si>
  <si>
    <t>marihelen7@yahoo.es</t>
  </si>
  <si>
    <t>0997503581</t>
  </si>
  <si>
    <t>1721867495</t>
  </si>
  <si>
    <t>GUALOTO OROZCO BYRON WLADIMIR</t>
  </si>
  <si>
    <t>wladybyron1111@gmail.com</t>
  </si>
  <si>
    <t>0968737985</t>
  </si>
  <si>
    <t>1752744472</t>
  </si>
  <si>
    <t>ESPINOZA VILLAVICENCIO CAROLINA EST</t>
  </si>
  <si>
    <t>carito02121995@gmail.com</t>
  </si>
  <si>
    <t>0999023140</t>
  </si>
  <si>
    <t>1719672089</t>
  </si>
  <si>
    <t>BOURGEAT SAAVEDRA PAULO</t>
  </si>
  <si>
    <t>lbourgeat@me.com</t>
  </si>
  <si>
    <t>0997646788</t>
  </si>
  <si>
    <t>1724751514</t>
  </si>
  <si>
    <t>GUALLPA CAGUANA WILLIAN EDMUNDO</t>
  </si>
  <si>
    <t>wguallpa17@hotmail.com</t>
  </si>
  <si>
    <t>0992875348</t>
  </si>
  <si>
    <t>1719953414</t>
  </si>
  <si>
    <t>FLORES LEON CLAUDIO JOAQUIN</t>
  </si>
  <si>
    <t>0979902079</t>
  </si>
  <si>
    <t>floersjoaquin634@gmail.com</t>
  </si>
  <si>
    <t>1003389192</t>
  </si>
  <si>
    <t>SANGUINO MONTESDEOCA AIDA PAULA</t>
  </si>
  <si>
    <t>0981434304</t>
  </si>
  <si>
    <t>1721232385</t>
  </si>
  <si>
    <t>LECHON CACUANGO MAURICIO WILLIAM</t>
  </si>
  <si>
    <t>mauriciol666@hotmail.com</t>
  </si>
  <si>
    <t>0968854740</t>
  </si>
  <si>
    <t>1728167394</t>
  </si>
  <si>
    <t>0963858198</t>
  </si>
  <si>
    <t>kevinleonelsarmiento223@gmail.com</t>
  </si>
  <si>
    <t>1105002156</t>
  </si>
  <si>
    <t>RIOFRIO DOMINGUEZ MARCO VINICIO</t>
  </si>
  <si>
    <t>2002marcolono@gmail.com</t>
  </si>
  <si>
    <t>0963367161</t>
  </si>
  <si>
    <t>0503690554</t>
  </si>
  <si>
    <t>LAVERDE CHIQUITO JUSTIN NICOLAS</t>
  </si>
  <si>
    <t>0605405547</t>
  </si>
  <si>
    <t>NARANJO YAUCEN CRISTHIAN ARMANDO</t>
  </si>
  <si>
    <t>armando12naranjo@gmail.com</t>
  </si>
  <si>
    <t>0990341536</t>
  </si>
  <si>
    <t>1722599220</t>
  </si>
  <si>
    <t>CHICAIZA COLLAGUAZO GLADYS VERONICA</t>
  </si>
  <si>
    <t>ariesvero08@hotmail.es</t>
  </si>
  <si>
    <t>0967245125</t>
  </si>
  <si>
    <t>nicolaslaverde274@gmail.com</t>
  </si>
  <si>
    <t>0990233887</t>
  </si>
  <si>
    <t>1716698277</t>
  </si>
  <si>
    <t>CUICHAN HARO ADELA FERNANDA</t>
  </si>
  <si>
    <t>adelafer17@hotmail.com</t>
  </si>
  <si>
    <t>0993701106</t>
  </si>
  <si>
    <t>1757078660</t>
  </si>
  <si>
    <t>PEDROSO GARCIA MAYLON</t>
  </si>
  <si>
    <t>1752944304</t>
  </si>
  <si>
    <t>CACUANGO ZACARIAS ITALO DAVID</t>
  </si>
  <si>
    <t>davis.idcz@gmail.com</t>
  </si>
  <si>
    <t>022832545</t>
  </si>
  <si>
    <t>SARMIENTO ALMEIDA KEVIN LEONEL</t>
  </si>
  <si>
    <t>1722089032</t>
  </si>
  <si>
    <t>SUAREZ HEREDIA NELSON OSWALDO</t>
  </si>
  <si>
    <t>0998287987</t>
  </si>
  <si>
    <t>os166370@gmail.com</t>
  </si>
  <si>
    <t>1712698065</t>
  </si>
  <si>
    <t>VELASQUEZ REYES MONICA PATRICIA</t>
  </si>
  <si>
    <t>velasquezmonica721@gmail.com</t>
  </si>
  <si>
    <t>0987505535</t>
  </si>
  <si>
    <t>1725845299</t>
  </si>
  <si>
    <t>ALCIVAR PONCE ALAN DANIEL</t>
  </si>
  <si>
    <t>alcivaralan153@gmail.com</t>
  </si>
  <si>
    <t>0997708138</t>
  </si>
  <si>
    <t>1726267717</t>
  </si>
  <si>
    <t>TENEZACA CRIOLLO CRISTIAN ANDRES</t>
  </si>
  <si>
    <t>cristiancriollo2003@gmail.com</t>
  </si>
  <si>
    <t>0986205871</t>
  </si>
  <si>
    <t>1750328567</t>
  </si>
  <si>
    <t>TACO NARVAEZ MARCELO ALEJANDRO</t>
  </si>
  <si>
    <t>marcelotaco2004@hotmail.com</t>
  </si>
  <si>
    <t>0958988247</t>
  </si>
  <si>
    <t>0603629585</t>
  </si>
  <si>
    <t>YERBABUENA YERBABUENA NELSON EFREN</t>
  </si>
  <si>
    <t>nelsoneyerbis@gmail.com</t>
  </si>
  <si>
    <t>0979484875</t>
  </si>
  <si>
    <t>0921869079</t>
  </si>
  <si>
    <t>JIMENEZ ARANA JIMMY CARLOS</t>
  </si>
  <si>
    <t>09jjelbacan@gmail.com</t>
  </si>
  <si>
    <t>0969954930</t>
  </si>
  <si>
    <t>1752952836</t>
  </si>
  <si>
    <t>PLUA SOLEDISPA KEVIN FERNANDO</t>
  </si>
  <si>
    <t>plua_fernando@hotmail.es</t>
  </si>
  <si>
    <t>n/d</t>
  </si>
  <si>
    <t>1728881861</t>
  </si>
  <si>
    <t>PONCE LONDOÑO JHOSUE HARIM</t>
  </si>
  <si>
    <t>harinlondo@gmail.com</t>
  </si>
  <si>
    <t>0992646794</t>
  </si>
  <si>
    <t>0202427480</t>
  </si>
  <si>
    <t>PUENTE GONZALEZ JUAN CARLOS</t>
  </si>
  <si>
    <t>puenetbayron05@gmail.com</t>
  </si>
  <si>
    <t>0999634540</t>
  </si>
  <si>
    <t>1104819162</t>
  </si>
  <si>
    <t>PATIÑO CARRILLO SANTIAGO RAMIRO</t>
  </si>
  <si>
    <t>patinosantiago401@gmail.com</t>
  </si>
  <si>
    <t>0985678606</t>
  </si>
  <si>
    <t>1724176621</t>
  </si>
  <si>
    <t>SUAREZ SUAREZ ORLANDO DAVID</t>
  </si>
  <si>
    <t>davidsuarez0413@gmail.com</t>
  </si>
  <si>
    <t>0979295788</t>
  </si>
  <si>
    <t>1723644983</t>
  </si>
  <si>
    <t>AGUILAR LOZADA JOSUE DAVID</t>
  </si>
  <si>
    <t>1727509646</t>
  </si>
  <si>
    <t>MATEUS ALBUJA JAIME ANDRES</t>
  </si>
  <si>
    <t>jaimemateusalbuja@hotmail.com</t>
  </si>
  <si>
    <t>0968909917</t>
  </si>
  <si>
    <t>1751527571</t>
  </si>
  <si>
    <t>JURADO CEDEÑO MARIA FERNANDA</t>
  </si>
  <si>
    <t>fernandaldu1106@gmail.com</t>
  </si>
  <si>
    <t>0995089724</t>
  </si>
  <si>
    <t>1713431813</t>
  </si>
  <si>
    <t>VILLAGOMEZ VERA XAVIER GONZALO</t>
  </si>
  <si>
    <t>JAVIERVILLAVERA_8@HOTMAIL.COM</t>
  </si>
  <si>
    <t>0984580011</t>
  </si>
  <si>
    <t>1725498008</t>
  </si>
  <si>
    <t>CHANCUSI GUEVARA JOHANA LIZBETH</t>
  </si>
  <si>
    <t>1727113654</t>
  </si>
  <si>
    <t>YANCHAGUANO LOOR ANTONY NELSON</t>
  </si>
  <si>
    <t>antonynelson20220711@gmail.com</t>
  </si>
  <si>
    <t>0979824424</t>
  </si>
  <si>
    <t>1760522951</t>
  </si>
  <si>
    <t>CRASTO MOSER JORIS ETIENNE MAURICE</t>
  </si>
  <si>
    <t>1717309577</t>
  </si>
  <si>
    <t>VERA TORRES NIXON</t>
  </si>
  <si>
    <t>0959212735</t>
  </si>
  <si>
    <t>luciaro.40.mayerli@gmail.com</t>
  </si>
  <si>
    <t>1728050210</t>
  </si>
  <si>
    <t>TATAYO SIMBAÑA MELANY MICHELLE</t>
  </si>
  <si>
    <t>melanytatayosimbaa@yahoo.es</t>
  </si>
  <si>
    <t>0995981952</t>
  </si>
  <si>
    <t>1721795126</t>
  </si>
  <si>
    <t>MONTENEGRO COQUE TATIANA MAYBETH</t>
  </si>
  <si>
    <t>tatiana94montenegro@gmail.com</t>
  </si>
  <si>
    <t>0989295810</t>
  </si>
  <si>
    <t>2350182073</t>
  </si>
  <si>
    <t>CAZAR MOREIRA ELIAS ISAAC</t>
  </si>
  <si>
    <t>elliot.cazar12@gmail.com</t>
  </si>
  <si>
    <t>0981393227</t>
  </si>
  <si>
    <t>0928435395</t>
  </si>
  <si>
    <t>DAZA NEIRA ROBERTO ALESSANDRO</t>
  </si>
  <si>
    <t>robertodaza204@gmail.com</t>
  </si>
  <si>
    <t>0991740140</t>
  </si>
  <si>
    <t>1315705317</t>
  </si>
  <si>
    <t>BRAVO QUIJIJE VINICIO DANIEL</t>
  </si>
  <si>
    <t>db4790894@gmail.com</t>
  </si>
  <si>
    <t>1726238767</t>
  </si>
  <si>
    <t>DUQUE IBARRA CRISTOPHER SEBASTIAN</t>
  </si>
  <si>
    <t>sebas9707@hotmail.com</t>
  </si>
  <si>
    <t>0999762927</t>
  </si>
  <si>
    <t>0801740267</t>
  </si>
  <si>
    <t>ALVARADO PORTOCARRERO HECTOR</t>
  </si>
  <si>
    <t>hector.67030@gmail.com</t>
  </si>
  <si>
    <t>0979799991</t>
  </si>
  <si>
    <t>1727243006</t>
  </si>
  <si>
    <t>YANEZ MELO IVAN ANDRES</t>
  </si>
  <si>
    <t>ivanandres2mil@hotmail.com</t>
  </si>
  <si>
    <t>0994606148</t>
  </si>
  <si>
    <t>1751312206</t>
  </si>
  <si>
    <t>ESPINOSA ARGOTTI CRISTIAN PAOLO</t>
  </si>
  <si>
    <t>paoloespinosaa15@gmail.com</t>
  </si>
  <si>
    <t>0106551807</t>
  </si>
  <si>
    <t>POGO CHAFLA LENIN MIGUEL</t>
  </si>
  <si>
    <t>0550062780</t>
  </si>
  <si>
    <t>PALLO PASTUNA JHOANA ALEXANDRA</t>
  </si>
  <si>
    <t>1718658139</t>
  </si>
  <si>
    <t>TACO MAIGUA ROSA BEATRIZ</t>
  </si>
  <si>
    <t>mdlawyersec@outlook.com</t>
  </si>
  <si>
    <t>0987416459</t>
  </si>
  <si>
    <t>1724236839</t>
  </si>
  <si>
    <t>LOPEZ GALLEGOS SAMIRA ABIGAIL</t>
  </si>
  <si>
    <t>smgallegos8@gmail.com</t>
  </si>
  <si>
    <t>0984231525</t>
  </si>
  <si>
    <t>0503505463</t>
  </si>
  <si>
    <t>TIGASI SINCHICO JABIER VINICIO</t>
  </si>
  <si>
    <t>lumo2023store@gmail.com</t>
  </si>
  <si>
    <t>0959192199</t>
  </si>
  <si>
    <t>1311058489</t>
  </si>
  <si>
    <t>MURILLO VELEZ JOSE LEONEL</t>
  </si>
  <si>
    <t>leonellogo@hotmail.com</t>
  </si>
  <si>
    <t>1759096066</t>
  </si>
  <si>
    <t>BECERRA LOAIZA DIEGO ALEJANDRO</t>
  </si>
  <si>
    <t>diegobecerradce@gmail.com</t>
  </si>
  <si>
    <t>1206025551</t>
  </si>
  <si>
    <t>CARRERA BASTIDAS MARYURI ROSSMERY</t>
  </si>
  <si>
    <t>marcarrerab@hotmail.com</t>
  </si>
  <si>
    <t>0986173812</t>
  </si>
  <si>
    <t>1724767361</t>
  </si>
  <si>
    <t>ESPINOZA LOMAS HOLGUER ALEXANDER</t>
  </si>
  <si>
    <t>alexanderespinoza200411@gmail.com</t>
  </si>
  <si>
    <t>0999165633</t>
  </si>
  <si>
    <t>1750013359</t>
  </si>
  <si>
    <t>QUIÑA ULQUIANGO JHONATAN ALEXANDER</t>
  </si>
  <si>
    <t>jhonatan.aqu@gmail.com</t>
  </si>
  <si>
    <t>0982422293</t>
  </si>
  <si>
    <t>1759013707</t>
  </si>
  <si>
    <t>RAMIREZ GRISALES JULIAN GUILLERMO</t>
  </si>
  <si>
    <t>julianramirezgrisalea18@gmail.com</t>
  </si>
  <si>
    <t>0958963650</t>
  </si>
  <si>
    <t>1719667071</t>
  </si>
  <si>
    <t xml:space="preserve">ENCALADA SUMBA LUIS ROBERTO  </t>
  </si>
  <si>
    <t>rober_eeq@hotmail.com</t>
  </si>
  <si>
    <t>0995180436</t>
  </si>
  <si>
    <t>1727566216</t>
  </si>
  <si>
    <t>RAMOS PARRA JOSE ANDRES</t>
  </si>
  <si>
    <t>jramosparra2004@gmail.com</t>
  </si>
  <si>
    <t>0986164822</t>
  </si>
  <si>
    <t>1724739527</t>
  </si>
  <si>
    <t>MONTERO AVEROS LIZETH NATHALY</t>
  </si>
  <si>
    <t>luismontero2330@gmail.com</t>
  </si>
  <si>
    <t>0960114596</t>
  </si>
  <si>
    <t>1722409834</t>
  </si>
  <si>
    <t>MENENDEZ GARCIA FREDDY GREGORIO</t>
  </si>
  <si>
    <t>frodomenendez@gmail.com</t>
  </si>
  <si>
    <t>0982696346</t>
  </si>
  <si>
    <t>1720936697</t>
  </si>
  <si>
    <t>ROMERO CONDOR MACARENA ALEXANDRA</t>
  </si>
  <si>
    <t>jimmy-a.a@hotmail.com</t>
  </si>
  <si>
    <t>0995258252</t>
  </si>
  <si>
    <t>1724455561</t>
  </si>
  <si>
    <t>CORTEZ BENAVIDES GONZALO XAVIER</t>
  </si>
  <si>
    <t>xavier.cortez@tramaco.com.ec</t>
  </si>
  <si>
    <t>0999953090</t>
  </si>
  <si>
    <t>1718684671</t>
  </si>
  <si>
    <t>TAIPE ORTIZ HENRY ALEXANDER</t>
  </si>
  <si>
    <t>1500935349</t>
  </si>
  <si>
    <t>VELIZ GRANJA CRISTIAN DARWIN</t>
  </si>
  <si>
    <t>crisveliz198811@hotmail.com</t>
  </si>
  <si>
    <t>0990543937</t>
  </si>
  <si>
    <t>*</t>
  </si>
  <si>
    <t>1728102425</t>
  </si>
  <si>
    <t>CAIZATOA CHIRIBOGA SUANNY ALEJANDRA</t>
  </si>
  <si>
    <t>suannycaizatoa@gmail.com</t>
  </si>
  <si>
    <t>0960913308</t>
  </si>
  <si>
    <t>1727338012</t>
  </si>
  <si>
    <t xml:space="preserve">ALVAREZ CUMBAL BRANDON VINICIO </t>
  </si>
  <si>
    <t>0992480671</t>
  </si>
  <si>
    <t>bvaac0809@gmail.com</t>
  </si>
  <si>
    <t>1751329382</t>
  </si>
  <si>
    <t>CORREA VELASQUEZ AMPARO ELIZABETH</t>
  </si>
  <si>
    <t>amparo051994correa@outlook.com</t>
  </si>
  <si>
    <t>0969844857</t>
  </si>
  <si>
    <t>1750516294</t>
  </si>
  <si>
    <t>TRUJILLO ZOTAMINGA MICHAEL ROLANDO</t>
  </si>
  <si>
    <t>maicol@outlook.com</t>
  </si>
  <si>
    <t>0961436458</t>
  </si>
  <si>
    <t>1722411228</t>
  </si>
  <si>
    <t>PAREDES ALBUJA HENRY MARCELO</t>
  </si>
  <si>
    <t>henry_pa1993@outlook.es</t>
  </si>
  <si>
    <t>0939110014</t>
  </si>
  <si>
    <t>1750656256</t>
  </si>
  <si>
    <t>CISNEROS ERAZO MATEO SEBASTIAN</t>
  </si>
  <si>
    <t>mateocisneros330@gmail.com</t>
  </si>
  <si>
    <t>0997655680</t>
  </si>
  <si>
    <t>1003828942</t>
  </si>
  <si>
    <t>ROSERO MENA AMANDA RAQUEL</t>
  </si>
  <si>
    <t>1721776613</t>
  </si>
  <si>
    <t>ORDOÑEZ CUÑEZ RUTH ELIZABETH</t>
  </si>
  <si>
    <t>1400431449</t>
  </si>
  <si>
    <t>DIGORDON</t>
  </si>
  <si>
    <t>JUA VIVAR PEDRO BOSCO</t>
  </si>
  <si>
    <t>pedrojua77@hotmail.com</t>
  </si>
  <si>
    <t>0993292527</t>
  </si>
  <si>
    <t>1751242106</t>
  </si>
  <si>
    <t>OBANDO DE LA CRUZ ESTEFANIA CRISTINA</t>
  </si>
  <si>
    <t>estefaniaobando407@gmail.com</t>
  </si>
  <si>
    <t>0981583485</t>
  </si>
  <si>
    <t>1726011958</t>
  </si>
  <si>
    <t>MAILA REYES CRISTIAN ERICK</t>
  </si>
  <si>
    <t>cris.canabis@hotmail.com</t>
  </si>
  <si>
    <t>0985482156</t>
  </si>
  <si>
    <t>1726364498</t>
  </si>
  <si>
    <t>MIGUEZ CARRILLO KLEBER FERNANDO</t>
  </si>
  <si>
    <t>kmiguez54@gmail.com</t>
  </si>
  <si>
    <t>0963357965</t>
  </si>
  <si>
    <t>1002954301</t>
  </si>
  <si>
    <t>LOPEZ MALLAMA JOSE ANTONIO</t>
  </si>
  <si>
    <t>1716562754</t>
  </si>
  <si>
    <t xml:space="preserve">ALMEIDA PASQUEL MARCO ALEJANDRO </t>
  </si>
  <si>
    <t>0997253441</t>
  </si>
  <si>
    <t>marco.almeida@udla.edu.ec</t>
  </si>
  <si>
    <t>1722892799</t>
  </si>
  <si>
    <t>VEGA CANCHINGRE DIANA CAROLINA</t>
  </si>
  <si>
    <t>dianakvc86@gmail.com</t>
  </si>
  <si>
    <t>0958931760</t>
  </si>
  <si>
    <t>1715574552</t>
  </si>
  <si>
    <t>QUINGA BERRONES LUIS ENRIQUE</t>
  </si>
  <si>
    <t>enri82eltravieso@hotmail.com</t>
  </si>
  <si>
    <t>0958979062</t>
  </si>
  <si>
    <t>1726418302</t>
  </si>
  <si>
    <t>GRANDA TORRES ALEJANDRO</t>
  </si>
  <si>
    <t>vtorresv@israferti.com</t>
  </si>
  <si>
    <t>0990157589</t>
  </si>
  <si>
    <t>1719256933</t>
  </si>
  <si>
    <t>GUAGCHA GUAITA DIANA PAOLA</t>
  </si>
  <si>
    <t>diana----w2010@hotmail.com</t>
  </si>
  <si>
    <t>0969234236</t>
  </si>
  <si>
    <t>JLOZANO</t>
  </si>
  <si>
    <t>1753034394</t>
  </si>
  <si>
    <t>FERNANDEZ CABEZAS CARLOS SEBASTIAN</t>
  </si>
  <si>
    <t>fernandezse33@outlook.com</t>
  </si>
  <si>
    <t>0985330453</t>
  </si>
  <si>
    <t>1724939473</t>
  </si>
  <si>
    <t>PILICITA NOBOA RODRIGO ALEJANDRO</t>
  </si>
  <si>
    <t>alejapili017@gmail.com</t>
  </si>
  <si>
    <t>0999823680</t>
  </si>
  <si>
    <t>1723203939</t>
  </si>
  <si>
    <t>VALLEJO VACA DANIEL FABRICIO</t>
  </si>
  <si>
    <t>danielfabricio1989@gmail.com</t>
  </si>
  <si>
    <t>0985524235</t>
  </si>
  <si>
    <t>1753880101</t>
  </si>
  <si>
    <t>GUAITA NAVARRETE GISELA FERNANDA</t>
  </si>
  <si>
    <t>fernandagisela230@gmail.com</t>
  </si>
  <si>
    <t>0983468741</t>
  </si>
  <si>
    <t>1102324900</t>
  </si>
  <si>
    <t>COLLAHUAZO DURAZNO VICTOR ANTONIO</t>
  </si>
  <si>
    <t>abcollahuazo@gmail.com</t>
  </si>
  <si>
    <t>0995628099</t>
  </si>
  <si>
    <t>1752418465</t>
  </si>
  <si>
    <t>ALVARADO CHANCHAY NICK ARIEL</t>
  </si>
  <si>
    <t>nickariel101@hotmail.com</t>
  </si>
  <si>
    <t>0988709104</t>
  </si>
  <si>
    <t>1717746455</t>
  </si>
  <si>
    <t>RODRIGUEZ SALAZAR ANDRES VICENTE</t>
  </si>
  <si>
    <t>andres-vic90@hotmail.com</t>
  </si>
  <si>
    <t>0998031052</t>
  </si>
  <si>
    <t>1726126061</t>
  </si>
  <si>
    <t>MUÑOZ MONCAYO JONATHAN ALFREDO</t>
  </si>
  <si>
    <t>jottatattoo2020@gmail.com</t>
  </si>
  <si>
    <t>0960583111</t>
  </si>
  <si>
    <t>1721877924</t>
  </si>
  <si>
    <t>AGUIRRE LOPEZ GEOVANNA CAROLINA</t>
  </si>
  <si>
    <t>0927714436</t>
  </si>
  <si>
    <t>DELGADO VERA JACINTO FELIPE</t>
  </si>
  <si>
    <t>0981580856</t>
  </si>
  <si>
    <t>verafelipe273@gmail.com</t>
  </si>
  <si>
    <t>1004639553</t>
  </si>
  <si>
    <t>QUIMBIA YANEZ LUIS PATRICIO</t>
  </si>
  <si>
    <t>1708852544</t>
  </si>
  <si>
    <t xml:space="preserve">SANCHEZ LUIS RODRIGO </t>
  </si>
  <si>
    <t>1723595029</t>
  </si>
  <si>
    <t>CALVA SOLANO DIEGO XAVIER</t>
  </si>
  <si>
    <t>0985487705</t>
  </si>
  <si>
    <t>diegocalva813@gmail.com</t>
  </si>
  <si>
    <t>1714620950</t>
  </si>
  <si>
    <t>VEGA UGSHA LUIS EDUARDO</t>
  </si>
  <si>
    <t>luisvega_131284@hotmail.com</t>
  </si>
  <si>
    <t>0983541517</t>
  </si>
  <si>
    <t>1721235875</t>
  </si>
  <si>
    <t>PUENTE MONTESINOS JUAN XAVIER</t>
  </si>
  <si>
    <t>entemontesinos@yahoo.com</t>
  </si>
  <si>
    <t>0999730806</t>
  </si>
  <si>
    <t>1717079063</t>
  </si>
  <si>
    <t>ASAÑA GUAMBI XIMENA ROSANA</t>
  </si>
  <si>
    <t>melanieizuna35@gmail.com</t>
  </si>
  <si>
    <t>0958870136</t>
  </si>
  <si>
    <t>1714020219</t>
  </si>
  <si>
    <t>BURBANO COSTALES ARMANDO MAURICIO</t>
  </si>
  <si>
    <t>bell212mau@gmail.com</t>
  </si>
  <si>
    <t>0985067590</t>
  </si>
  <si>
    <t>1720459096</t>
  </si>
  <si>
    <t xml:space="preserve">PROAÑO PEREZ MARIA BELEN </t>
  </si>
  <si>
    <t>mabel_136@hotmail.com</t>
  </si>
  <si>
    <t>0984004736</t>
  </si>
  <si>
    <t>1722868252</t>
  </si>
  <si>
    <t>RECALDE CORTEZ ALAN DANIEL</t>
  </si>
  <si>
    <t>alancortez9712_@outlook.com</t>
  </si>
  <si>
    <t>0963163685</t>
  </si>
  <si>
    <t>1714579081</t>
  </si>
  <si>
    <t>CHIPANTAXI MIQUINGA JULIO CESAR</t>
  </si>
  <si>
    <t>dilo-54@hotmail.com</t>
  </si>
  <si>
    <t>0998002845</t>
  </si>
  <si>
    <t>LAGOS ROSERO EDWIN MAURICIO</t>
  </si>
  <si>
    <t>1719920371</t>
  </si>
  <si>
    <t>1707839005</t>
  </si>
  <si>
    <t>OYANA SIMBANA JOSE WENCESLAO</t>
  </si>
  <si>
    <t>joseoyana@outlook.com</t>
  </si>
  <si>
    <t>0998945947</t>
  </si>
  <si>
    <t xml:space="preserve">1757752967 </t>
  </si>
  <si>
    <t>GUZMAN TORTOLERO MARITZA DEL VALLE</t>
  </si>
  <si>
    <t>mdelvalleguzman@hotmail.com</t>
  </si>
  <si>
    <t>0983299694</t>
  </si>
  <si>
    <t>1105193781</t>
  </si>
  <si>
    <t>OCHOA CEVALLOS MATEO ALEJANDRO</t>
  </si>
  <si>
    <t>belcice83@gmail.com</t>
  </si>
  <si>
    <t>0959883722</t>
  </si>
  <si>
    <t>1722697495</t>
  </si>
  <si>
    <t>SIGUENZA GUALOTUÑA KEVIN MARCELO</t>
  </si>
  <si>
    <t>kevinsiguenza024@gmail.com</t>
  </si>
  <si>
    <t>0995348066</t>
  </si>
  <si>
    <t>1727535906</t>
  </si>
  <si>
    <t>CUZCO HERRERA BRYAN ALEXANDER</t>
  </si>
  <si>
    <t>1726677899</t>
  </si>
  <si>
    <t>VASCONEZ GALARRAGA DANIELA EMILIA</t>
  </si>
  <si>
    <t>danielavasconez200418@gmail.com</t>
  </si>
  <si>
    <t>0989863173</t>
  </si>
  <si>
    <t>1315752616</t>
  </si>
  <si>
    <t>ZAMBRANO ZAMBRANO EDWIN SANTIAGO</t>
  </si>
  <si>
    <t>thiagozarm@gmail.com</t>
  </si>
  <si>
    <t>0987584777</t>
  </si>
  <si>
    <t>1725757502</t>
  </si>
  <si>
    <t>ZAMORA GUERRERO ADRIAN ADALBERTO</t>
  </si>
  <si>
    <t>zamoraguerreroadrian@gmail.com</t>
  </si>
  <si>
    <t>1723452999</t>
  </si>
  <si>
    <t>MASAPANTA CHILLAGANA ALEXIS FERNANDO</t>
  </si>
  <si>
    <t>1723438832</t>
  </si>
  <si>
    <t xml:space="preserve">GUALLICHICO VELASCO HUGO ERICK </t>
  </si>
  <si>
    <t>erickgullichico72@gmail.com</t>
  </si>
  <si>
    <t>0995274394</t>
  </si>
  <si>
    <t>1309087276</t>
  </si>
  <si>
    <t>GONZALEZ JAMA JESUS ARMANDO</t>
  </si>
  <si>
    <t>0981499029/0963157503</t>
  </si>
  <si>
    <t>1500369614</t>
  </si>
  <si>
    <t>MORENO VERDUGO ADALBERTO</t>
  </si>
  <si>
    <t>adalbertomoreno1968@gmail.com</t>
  </si>
  <si>
    <t>0998037492</t>
  </si>
  <si>
    <t>CAMUENDO CANDO NELSON DANIEL</t>
  </si>
  <si>
    <t>daniel30jk@hotmail.com</t>
  </si>
  <si>
    <t>1710575760</t>
  </si>
  <si>
    <t>RAMOS YANEZ VERONICA SALOME</t>
  </si>
  <si>
    <t>vsramosy@msn.com</t>
  </si>
  <si>
    <t>0999334163</t>
  </si>
  <si>
    <t>1727369520</t>
  </si>
  <si>
    <t>LARA PADILLA JONATHAN PAUL</t>
  </si>
  <si>
    <t>padilpaul.ec.23@gmail.com</t>
  </si>
  <si>
    <t>0963332259</t>
  </si>
  <si>
    <t>Sin certificado de estudios</t>
  </si>
  <si>
    <t>Faltantes</t>
  </si>
  <si>
    <t>Sin listado</t>
  </si>
  <si>
    <t>1726150319</t>
  </si>
  <si>
    <t>SALAS CAPUZ ADRIAN ALEJANDRO</t>
  </si>
  <si>
    <t>fannylizjls30@gmail.com</t>
  </si>
  <si>
    <t>0995145950</t>
  </si>
  <si>
    <t>1720545282</t>
  </si>
  <si>
    <t>ESPINOZA MASACHE JOSE ISAIAS</t>
  </si>
  <si>
    <t>pepe_bacan@live.com</t>
  </si>
  <si>
    <t>0978826244</t>
  </si>
  <si>
    <t>1723128508</t>
  </si>
  <si>
    <t>BECARIA BRITO JUAN ALBERTO</t>
  </si>
  <si>
    <t xml:space="preserve"> 1725562175</t>
  </si>
  <si>
    <t>POZO SALDARRIAGA LUIS ALEXANDER</t>
  </si>
  <si>
    <t>apozo@pintulac.com.ec</t>
  </si>
  <si>
    <t>0958993138</t>
  </si>
  <si>
    <t>1751985878</t>
  </si>
  <si>
    <t>CORDOVA REYNA VICTOR DANIEL</t>
  </si>
  <si>
    <t>danielcordova369@gmail.com</t>
  </si>
  <si>
    <t>0969148419</t>
  </si>
  <si>
    <t>1719678789</t>
  </si>
  <si>
    <t>MORA ARIAS MICHELLE STHEFANNY</t>
  </si>
  <si>
    <t>miixuu@hotmail.com</t>
  </si>
  <si>
    <t>1723859250</t>
  </si>
  <si>
    <t>PERUGACHI CUMBAL BYRON ROLANDO</t>
  </si>
  <si>
    <t>perugachibyron105@gmail.com</t>
  </si>
  <si>
    <t>0984812510</t>
  </si>
  <si>
    <t>1752376556</t>
  </si>
  <si>
    <t>ARTIEDA LOZA KENNITH JOEL</t>
  </si>
  <si>
    <t>joel.artieda10@gmail.com</t>
  </si>
  <si>
    <t>0989796178</t>
  </si>
  <si>
    <t>1721514808</t>
  </si>
  <si>
    <t>TOMALA TOMALA LENIN STEVEN</t>
  </si>
  <si>
    <t>leninsteventomala@gmail.com</t>
  </si>
  <si>
    <t>0959845638</t>
  </si>
  <si>
    <t>1752390292</t>
  </si>
  <si>
    <t>ALTAMIRANO PEREZ LUIS SEBASTIAN</t>
  </si>
  <si>
    <t>luis.sebastian908@gmail.com</t>
  </si>
  <si>
    <t>0987636751</t>
  </si>
  <si>
    <t>1757372907</t>
  </si>
  <si>
    <t>URRIOLA GONZALEZ SURIÑE ELENA</t>
  </si>
  <si>
    <t>suri2388@gmail.com</t>
  </si>
  <si>
    <t>0982330919</t>
  </si>
  <si>
    <t>PILA CASTILLO OSWALDO VLADIMIR</t>
  </si>
  <si>
    <t>1726526765</t>
  </si>
  <si>
    <t>sonidofino333@gmail.com</t>
  </si>
  <si>
    <t>0958859711</t>
  </si>
  <si>
    <t>2100131057</t>
  </si>
  <si>
    <t>PONCE ELIZALDE HERMEL AUGUSTO</t>
  </si>
  <si>
    <t>hermelponce9@gmail.com</t>
  </si>
  <si>
    <t>0994152494</t>
  </si>
  <si>
    <t>1715512701</t>
  </si>
  <si>
    <t>ANELOA COLLAGUAZO JOSE RAFAEL</t>
  </si>
  <si>
    <t>rafaelaneloa@gmail.com</t>
  </si>
  <si>
    <t>0993563661</t>
  </si>
  <si>
    <t>1725470866</t>
  </si>
  <si>
    <t>AYALA CASA JENNIFER KARINA</t>
  </si>
  <si>
    <t>kariayala.2410@gmail.com</t>
  </si>
  <si>
    <t>0995080433</t>
  </si>
  <si>
    <t>1721020350</t>
  </si>
  <si>
    <t>ANDRADE QUIROZ DAVID ALEJANDRO</t>
  </si>
  <si>
    <t>davidandrade2525@gmail.com</t>
  </si>
  <si>
    <t>0979162873</t>
  </si>
  <si>
    <t>1717848954</t>
  </si>
  <si>
    <t>SANDOVAL CORTEZ ANDRES ROMMEL</t>
  </si>
  <si>
    <t>adrom_maylem@hotmail.com</t>
  </si>
  <si>
    <t>1757434343</t>
  </si>
  <si>
    <t>CARRILLO SOTO FERNANDO JOSE</t>
  </si>
  <si>
    <t>0202240859</t>
  </si>
  <si>
    <t>MIRANDA PEREZ WIDDINSON ADRUBAL</t>
  </si>
  <si>
    <t>1756042402</t>
  </si>
  <si>
    <t>SIMBANA CHIMBORAZO SAUL ISMAEL</t>
  </si>
  <si>
    <t>saulchimborazo23-25@hotmail.com</t>
  </si>
  <si>
    <t>0979944654</t>
  </si>
  <si>
    <t>1725086498</t>
  </si>
  <si>
    <t>PAUCAR PALOMO LUIS ANDRES</t>
  </si>
  <si>
    <t>luispaucar235@gmail.com</t>
  </si>
  <si>
    <t>0983122857</t>
  </si>
  <si>
    <t>1713483772</t>
  </si>
  <si>
    <t>VEGA QUISAGUANO DANNY ROLANDO</t>
  </si>
  <si>
    <t>1719651893</t>
  </si>
  <si>
    <t>VILLAFUERTE LEON MARCELO DANIEL</t>
  </si>
  <si>
    <t>danielviollafuerteleon@gmail.com</t>
  </si>
  <si>
    <t>0969956217</t>
  </si>
  <si>
    <t>1750106161</t>
  </si>
  <si>
    <t>MEJIA AREVALO ANTHONY STIVEN</t>
  </si>
  <si>
    <t>athomejia@hotmail.com</t>
  </si>
  <si>
    <t>0996017910</t>
  </si>
  <si>
    <t>1724590870</t>
  </si>
  <si>
    <t>TASINCHANA CATUCUAMBA ALEXIS SANTI</t>
  </si>
  <si>
    <t>2300549215</t>
  </si>
  <si>
    <t>ZAMBRANO PRECIADO OSCAR STEVEN</t>
  </si>
  <si>
    <t>1723871883</t>
  </si>
  <si>
    <t>GUERRERO NOBOA MATIAS RAUL</t>
  </si>
  <si>
    <t>matiasguerrerorn@gmail.com</t>
  </si>
  <si>
    <t>0994115053</t>
  </si>
  <si>
    <t>2300705965</t>
  </si>
  <si>
    <t>MOREIRA ESMERALDAS JESSENIA ELIZABETH</t>
  </si>
  <si>
    <t>jesseniamoreira051996@gmail.com</t>
  </si>
  <si>
    <t>0994473864</t>
  </si>
  <si>
    <t>1751469329</t>
  </si>
  <si>
    <t>CRIOLLO TACO DANIEL ALEJANDRO</t>
  </si>
  <si>
    <t>criollodaniel47@gmail.com</t>
  </si>
  <si>
    <t>0984222297</t>
  </si>
  <si>
    <t>1722776240</t>
  </si>
  <si>
    <t>FLORES ILAQUICHE LUIS EDUARDO</t>
  </si>
  <si>
    <t>jiluiseduardo@hotmail.com</t>
  </si>
  <si>
    <t>0981938719</t>
  </si>
  <si>
    <t>0801077363</t>
  </si>
  <si>
    <t>BERNARDO MALDONADO OLMEDO</t>
  </si>
  <si>
    <t>pacificsecurityforce@hotmail.com</t>
  </si>
  <si>
    <t>0998583471</t>
  </si>
  <si>
    <t>CAIZALUISA CONCHAMBAY MANUEL</t>
  </si>
  <si>
    <t>caizaluisa.1985@gmail.com</t>
  </si>
  <si>
    <t>0995730597</t>
  </si>
  <si>
    <t>androm_mayhem@hotmail.com</t>
  </si>
  <si>
    <t>0982869844</t>
  </si>
  <si>
    <t>IBARRA HARO ANTHONY MATEO</t>
  </si>
  <si>
    <t xml:space="preserve">RODRIGUEZ MONTE BRYAN SEBASTIAN </t>
  </si>
  <si>
    <t>sebasrd74@gmail.com</t>
  </si>
  <si>
    <t>0987246457</t>
  </si>
  <si>
    <t>PILATUÑA SIMBAÑA LIZBETH GRACIELA</t>
  </si>
  <si>
    <t>ULCO ULCO SANTIAGO PAUL</t>
  </si>
  <si>
    <t>ZAMBRANO AMPUERO KEVIN ADRIAN</t>
  </si>
  <si>
    <t>zambranok935@gmail.com</t>
  </si>
  <si>
    <t>0983244110</t>
  </si>
  <si>
    <t>ALBA CALO ANDRES MATEO</t>
  </si>
  <si>
    <t>albaandres575@gmail.com</t>
  </si>
  <si>
    <t>0982846013</t>
  </si>
  <si>
    <t>CAICEDO NARVAEZ VICTOR ALFONSO</t>
  </si>
  <si>
    <t>ventas@ircomsas.com</t>
  </si>
  <si>
    <t>0968330321</t>
  </si>
  <si>
    <t>GONZALEZ GODOS TONY DANIEL</t>
  </si>
  <si>
    <t>danielssgonza99@gmail.com</t>
  </si>
  <si>
    <t>0987284249</t>
  </si>
  <si>
    <t>MONTALVO POVEDA PABLO SEBASTIAN</t>
  </si>
  <si>
    <t>sebastin085@hotmail.com</t>
  </si>
  <si>
    <t>0984897452</t>
  </si>
  <si>
    <t>GUANUCHE BELDUMA ANGEL FABIAN</t>
  </si>
  <si>
    <t>0992578707</t>
  </si>
  <si>
    <t>angelfabi14@gmail.com</t>
  </si>
  <si>
    <t>COBA POZO EMILIO JOSE</t>
  </si>
  <si>
    <t>emiliojosecobapozo@outlook.com</t>
  </si>
  <si>
    <t>0962520966</t>
  </si>
  <si>
    <t>ALVARADO GUACOLLANTES JOSE LEONEL</t>
  </si>
  <si>
    <t>0990935604</t>
  </si>
  <si>
    <t>SORIA PACHA BRYAN ALEXANDER</t>
  </si>
  <si>
    <t>bryansoria69@gmail.com</t>
  </si>
  <si>
    <t>0960956868</t>
  </si>
  <si>
    <t>ACAN PAREDES JOSE DANIEL</t>
  </si>
  <si>
    <t>acanjose7@gmail.com</t>
  </si>
  <si>
    <t>0999270695</t>
  </si>
  <si>
    <t>NAULA ROBLES ANGIE MARISOL</t>
  </si>
  <si>
    <t>angii_sole@hotmail.com</t>
  </si>
  <si>
    <t>0962597464</t>
  </si>
  <si>
    <t>TORRES PACHECO ANDRES JOHNATAN</t>
  </si>
  <si>
    <t>at3000jp@hotmail.com</t>
  </si>
  <si>
    <t>0987631817</t>
  </si>
  <si>
    <t xml:space="preserve">BONILLA TIBANQUIZA ANGEL ABRAHAN </t>
  </si>
  <si>
    <t>0604159772</t>
  </si>
  <si>
    <t>angelbonilla2525@outlook.com</t>
  </si>
  <si>
    <t>0967014062</t>
  </si>
  <si>
    <t>CAIZA CATAGNA LUIS EDUARDO</t>
  </si>
  <si>
    <t>luiskayner@gmail.com</t>
  </si>
  <si>
    <t>0983296924</t>
  </si>
  <si>
    <t>RIVERA PAREDES MATHIAS RAUL</t>
  </si>
  <si>
    <t>0969939658</t>
  </si>
  <si>
    <t>matiriveraam84@gmail.com</t>
  </si>
  <si>
    <t>LLUGSA GUAÑUNA PATRICIO ROELY</t>
  </si>
  <si>
    <t xml:space="preserve">GONZALEZ MAZA MILENYS </t>
  </si>
  <si>
    <t>drammaza@gmail.com</t>
  </si>
  <si>
    <t>0995399774</t>
  </si>
  <si>
    <t>SOSA MAILA JHERSON PATRICIO</t>
  </si>
  <si>
    <t>jherson-sosa@hotmail.com</t>
  </si>
  <si>
    <t>0998945546</t>
  </si>
  <si>
    <t>NUÑEZ APUNTE MARLON SEBASTIAN</t>
  </si>
  <si>
    <t>CALAPAQUI OÑA LEIDY GARDEÑA</t>
  </si>
  <si>
    <t>lady2018@hotmail.com</t>
  </si>
  <si>
    <t>0987426105</t>
  </si>
  <si>
    <t>0991840518</t>
  </si>
  <si>
    <t>bryanchisaguano123@outlook.es</t>
  </si>
  <si>
    <t>CAÑAR JACOME ANGEL DANILO</t>
  </si>
  <si>
    <t>0985827185</t>
  </si>
  <si>
    <t>danilojacome033@gmail.com</t>
  </si>
  <si>
    <t>CURILLO CHASI JESSENIA MARIBEL</t>
  </si>
  <si>
    <t>jessy-862011hotmail.com</t>
  </si>
  <si>
    <t>0983147835</t>
  </si>
  <si>
    <t>ESPINOZA VALENCIA JORGE MANUEL</t>
  </si>
  <si>
    <t>jorgemanuel10@outlook.com</t>
  </si>
  <si>
    <t>0968473787</t>
  </si>
  <si>
    <t>CABEZAS LEON EDGAR PATRICIO</t>
  </si>
  <si>
    <t>edgar_heavy@outlook.com</t>
  </si>
  <si>
    <t>0963127900</t>
  </si>
  <si>
    <t>SALVADOR CORDOVA ABNER MATEO</t>
  </si>
  <si>
    <t>abnermateo@hotmail.com</t>
  </si>
  <si>
    <t>0998899886</t>
  </si>
  <si>
    <t>LOPEZ JARAMILLO EDISON MIGUEL</t>
  </si>
  <si>
    <t>liliphone2016@gmail.com</t>
  </si>
  <si>
    <t>0988435005</t>
  </si>
  <si>
    <t>TIPAN CALDERON ANDRES ISRAEL</t>
  </si>
  <si>
    <t>andreshain@hotmail.com</t>
  </si>
  <si>
    <t>0986840834</t>
  </si>
  <si>
    <t>MAILA MAILA ABEL FABRICIO</t>
  </si>
  <si>
    <t>abelmaila93@gmail.com</t>
  </si>
  <si>
    <t>0992596952</t>
  </si>
  <si>
    <t>GOMEZ ALBARAN MARIA ELIZABETH</t>
  </si>
  <si>
    <t>elizabeth062000gomez@outlook.com</t>
  </si>
  <si>
    <t>0990466679</t>
  </si>
  <si>
    <t>RON JARA DYLAN PAOLO</t>
  </si>
  <si>
    <t>dilanjbron@hotmail.com</t>
  </si>
  <si>
    <t>0979197252</t>
  </si>
  <si>
    <t>AL MAAMARI FATIMA FAOZI</t>
  </si>
  <si>
    <t>fatima.mamry@gmail.com</t>
  </si>
  <si>
    <t>0958918624</t>
  </si>
  <si>
    <t>TANDAYAMO LEON JOSE VLADIMIR</t>
  </si>
  <si>
    <t>josevladim2014@gmail.om</t>
  </si>
  <si>
    <t>0994510743</t>
  </si>
  <si>
    <t>MARTILLO ALBAN ERICK ALEXANDER</t>
  </si>
  <si>
    <t>erickmartillo2001@gmail.com</t>
  </si>
  <si>
    <t>0980460996</t>
  </si>
  <si>
    <t>GUANOTASI CORO FREDDY DANIEL</t>
  </si>
  <si>
    <t>freddynocturno1@hotmail.com</t>
  </si>
  <si>
    <t>0990323780</t>
  </si>
  <si>
    <t>ESCOBAR CUMBAJIN JHONATAN ENRIQUE</t>
  </si>
  <si>
    <t>CASTILLO SOTO HENRY BOLIVAR</t>
  </si>
  <si>
    <t>BRITO CORONEL WILSON RAMIRO</t>
  </si>
  <si>
    <t xml:space="preserve">CARDENAS BUITRON MATEO NICOLAS </t>
  </si>
  <si>
    <t>0950408955</t>
  </si>
  <si>
    <t>PESANTES MEDINA FRANCO MATIAS</t>
  </si>
  <si>
    <t>castro.fabricio.21@gmail.com</t>
  </si>
  <si>
    <t>0978789090</t>
  </si>
  <si>
    <t>0919742288</t>
  </si>
  <si>
    <t>MEDINA VALVERDE JESSICA MERCEDES</t>
  </si>
  <si>
    <t>0926599523</t>
  </si>
  <si>
    <t>CASTRO SERRANO FABRICIO MIGUEL</t>
  </si>
  <si>
    <t>0999465567</t>
  </si>
  <si>
    <t>BRAVO HERMOSILLA TAMARA ANDREA</t>
  </si>
  <si>
    <t>tamylavaquita@gmail.com</t>
  </si>
  <si>
    <t>0986866262</t>
  </si>
  <si>
    <t>GREFA VASQUEZ BRYAN ALEXANDER</t>
  </si>
  <si>
    <t>grefabryan306@gmail.com</t>
  </si>
  <si>
    <t>0987416856</t>
  </si>
  <si>
    <t>AULES AULES WILMAN ALBERTO</t>
  </si>
  <si>
    <t>wil_man1985@hotmail.com</t>
  </si>
  <si>
    <t>0960243356</t>
  </si>
  <si>
    <t>Informe entregado a Auditoria Interna</t>
  </si>
  <si>
    <t>TASIGUANO CHIPANTAXI WELLINGTON VINICIO</t>
  </si>
  <si>
    <t>wellingtonvinicio.1999@gmail.com</t>
  </si>
  <si>
    <t>0993048213</t>
  </si>
  <si>
    <t>MUENALA DIAS JOSE LUIS</t>
  </si>
  <si>
    <t>josevargas9875@gmail.com</t>
  </si>
  <si>
    <t>0998493499</t>
  </si>
  <si>
    <t>GUAMAN CHICAIZA ERIKA ALEJANDRA</t>
  </si>
  <si>
    <t>alejatreasure@gmail.com</t>
  </si>
  <si>
    <t>0962133620</t>
  </si>
  <si>
    <t>JARAMILLO MORA KARLA ALEJANDRA</t>
  </si>
  <si>
    <t>karlajaramillom13@gmail.com</t>
  </si>
  <si>
    <t>0960267295</t>
  </si>
  <si>
    <t>GUAMAN CACUANGO SERGIO SEBASTIAN</t>
  </si>
  <si>
    <t>sebastian_guaman26@hotmail.com</t>
  </si>
  <si>
    <t>0999784579</t>
  </si>
  <si>
    <t>VASQUEZ JIMENEZ CARLOS MANUEL</t>
  </si>
  <si>
    <t>0988726703</t>
  </si>
  <si>
    <t>carlosvasquez_1980@outlook.es</t>
  </si>
  <si>
    <t xml:space="preserve">MEJIA CASTRO JUAN CARLOS </t>
  </si>
  <si>
    <t>juank72430@hotmail.com</t>
  </si>
  <si>
    <t>0988378957</t>
  </si>
  <si>
    <t>BARBA LEON WILSON STALIN </t>
  </si>
  <si>
    <t>stalinb548@gmail.com</t>
  </si>
  <si>
    <t>0991860024</t>
  </si>
  <si>
    <t xml:space="preserve">CHAVEZ MORA ARTHUR WILSON </t>
  </si>
  <si>
    <t>arthurchavez2399@gmail.com</t>
  </si>
  <si>
    <t>0997106357</t>
  </si>
  <si>
    <t>LASTRA MORA CARLOS SEGUNDO</t>
  </si>
  <si>
    <t>calinlas727@gmail.com</t>
  </si>
  <si>
    <t>0967614526</t>
  </si>
  <si>
    <t>TITUANA SIMBANA EDISON JAVIER</t>
  </si>
  <si>
    <t>simbanamaria09@gmail.com</t>
  </si>
  <si>
    <t>0989196508</t>
  </si>
  <si>
    <t>PEREZ MOROCHO DANIEL ALEXANDER</t>
  </si>
  <si>
    <t>daniel.peres032@gmail.com</t>
  </si>
  <si>
    <t>0984530786</t>
  </si>
  <si>
    <t>LEON JACOME SEBASTIAN ALEJANDRO</t>
  </si>
  <si>
    <t>lorena_jacome2004@hotmail.com</t>
  </si>
  <si>
    <t>0984868519</t>
  </si>
  <si>
    <t>SANTIAGO RODRIGUEZ MARIA DE LOS ANGELES</t>
  </si>
  <si>
    <t>HERRERA MEDINA DIEGO FERNANDO</t>
  </si>
  <si>
    <t>diefer6012@hotmail.com</t>
  </si>
  <si>
    <t>0988337384</t>
  </si>
  <si>
    <t>0929613230</t>
  </si>
  <si>
    <t>MENDOZA AVILA YAJAIRA MARGARITA</t>
  </si>
  <si>
    <t>ymendozaavila1990@gmail.com</t>
  </si>
  <si>
    <t>0979451100</t>
  </si>
  <si>
    <t>RUEDA MACAY JOSE LUIS</t>
  </si>
  <si>
    <t>jruedamacay06@gmail.com</t>
  </si>
  <si>
    <t>0984045153</t>
  </si>
  <si>
    <t>QUIJANO BRAVO GUSTAVO ALEJANDRO</t>
  </si>
  <si>
    <t>tavitoalejogustavo@gmail.com</t>
  </si>
  <si>
    <t>0983493267</t>
  </si>
  <si>
    <t>BARROS ZAMORA DARIO XAVIER</t>
  </si>
  <si>
    <t>BARROS ZAMORA LUIS FERNANDO</t>
  </si>
  <si>
    <t>AGUILAR RAMOS ANDRES MATEO</t>
  </si>
  <si>
    <t>mateoaguilar1112@gmail.com</t>
  </si>
  <si>
    <t>0983163726</t>
  </si>
  <si>
    <t>AUCAPIÑA YUPANGUI JORGE LUIS</t>
  </si>
  <si>
    <t xml:space="preserve"> </t>
  </si>
  <si>
    <t>GUANIN ROMO VICKY GALUD</t>
  </si>
  <si>
    <t>v.guanin@hotmail.com</t>
  </si>
  <si>
    <t>SEGURA CORREA ROLANDO EDUARDO</t>
  </si>
  <si>
    <t>rolasc88@hotmail.com</t>
  </si>
  <si>
    <t>0986741022</t>
  </si>
  <si>
    <t>ALMEIDA AULES ORLANDO RAUL</t>
  </si>
  <si>
    <t>sraul8912@hotmail.com</t>
  </si>
  <si>
    <t>0979206627</t>
  </si>
  <si>
    <t>LECHON FLORES BRANDON CHARLIE</t>
  </si>
  <si>
    <t>brandon20charlie@gmail.com</t>
  </si>
  <si>
    <t>MOREIRA MUÑOZ FERNANDO ALEXANDER</t>
  </si>
  <si>
    <t>moreira.fernando21@gmail.com</t>
  </si>
  <si>
    <t>0963671009</t>
  </si>
  <si>
    <t>ARIAS PILLAJO ZAHID ALEJANDRO</t>
  </si>
  <si>
    <t>alejo.arias1027@gmail.com</t>
  </si>
  <si>
    <t>0996124500</t>
  </si>
  <si>
    <t>CAILLAGUA CAIZA DENNIS JOSE</t>
  </si>
  <si>
    <t>dnnscaillagua@gmail.com</t>
  </si>
  <si>
    <t>0987366722</t>
  </si>
  <si>
    <t>CASTELLANOS GALARRAGA MARIA FERNANDA</t>
  </si>
  <si>
    <t>ferchuscastellanosgalarraga@gmail.com</t>
  </si>
  <si>
    <t>0989641355</t>
  </si>
  <si>
    <t>MARTINEZ MONGE MARIA SOLEDAD</t>
  </si>
  <si>
    <t>shalom19812003@hotmail.com</t>
  </si>
  <si>
    <t>0983228520</t>
  </si>
  <si>
    <t>ENRIQUEZ ESCOBAR ROMMEL ALEXEY</t>
  </si>
  <si>
    <t>enriquezrommel@gmail.com</t>
  </si>
  <si>
    <t>0995639132</t>
  </si>
  <si>
    <t xml:space="preserve">OÑA ERIQUE VICTOR HUGO </t>
  </si>
  <si>
    <t>victor.ona.1320@outlook.es</t>
  </si>
  <si>
    <t>0998662703</t>
  </si>
  <si>
    <t>CARRERA HERRERA ALEX PAUL</t>
  </si>
  <si>
    <t>alexcarrearh8r@gmail.com</t>
  </si>
  <si>
    <t>0987729549</t>
  </si>
  <si>
    <t>BORJA TADEO YANDRY YAIR</t>
  </si>
  <si>
    <t>yair16borja@gmail.com</t>
  </si>
  <si>
    <t>0986690763</t>
  </si>
  <si>
    <t>RANGEL TOVAR DANIEL ANTONIO</t>
  </si>
  <si>
    <t>danielrangel_39@hotmail.com</t>
  </si>
  <si>
    <t>0998270207</t>
  </si>
  <si>
    <t>CEDEÑO LOPEZ JAVIER MAICOL</t>
  </si>
  <si>
    <t>www-maick1@hotmail.com</t>
  </si>
  <si>
    <t>0995147180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</si>
</sst>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sz val="9"/>
      <color rgb="FF262626"/>
      <name val="Segoe U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Verdana"/>
      <family val="2"/>
    </font>
    <font>
      <b/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49" fontId="0" fillId="0" borderId="1" xfId="0" applyNumberFormat="1" applyBorder="1"/>
    <xf numFmtId="0" fontId="3" fillId="0" borderId="0" xfId="0" applyFont="1"/>
    <xf numFmtId="14" fontId="0" fillId="0" borderId="1" xfId="0" applyNumberFormat="1" applyBorder="1"/>
    <xf numFmtId="1" fontId="0" fillId="0" borderId="1" xfId="0" applyNumberFormat="1" applyBorder="1"/>
    <xf numFmtId="0" fontId="4" fillId="0" borderId="0" xfId="0" applyFont="1"/>
    <xf numFmtId="0" fontId="6" fillId="0" borderId="0" xfId="0" applyFont="1" applyAlignment="1">
      <alignment vertical="center" wrapText="1"/>
    </xf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5" fillId="0" borderId="0" xfId="1" applyNumberFormat="1" applyBorder="1"/>
    <xf numFmtId="1" fontId="0" fillId="0" borderId="0" xfId="0" applyNumberFormat="1"/>
    <xf numFmtId="0" fontId="7" fillId="0" borderId="0" xfId="0" applyFont="1"/>
    <xf numFmtId="0" fontId="5" fillId="0" borderId="0" xfId="1"/>
    <xf numFmtId="0" fontId="10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14" fontId="0" fillId="0" borderId="1" xfId="0" applyNumberFormat="1" applyBorder="1" applyAlignment="1">
      <alignment wrapText="1"/>
    </xf>
    <xf numFmtId="0" fontId="1" fillId="0" borderId="1" xfId="0" applyFont="1" applyBorder="1"/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4" fontId="11" fillId="0" borderId="0" xfId="0" applyNumberFormat="1" applyFont="1"/>
    <xf numFmtId="49" fontId="0" fillId="0" borderId="1" xfId="0" quotePrefix="1" applyNumberFormat="1" applyBorder="1"/>
    <xf numFmtId="49" fontId="5" fillId="0" borderId="1" xfId="1" applyNumberFormat="1" applyBorder="1"/>
    <xf numFmtId="0" fontId="1" fillId="3" borderId="0" xfId="0" applyFont="1" applyFill="1" applyAlignment="1">
      <alignment horizontal="right"/>
    </xf>
    <xf numFmtId="0" fontId="1" fillId="3" borderId="0" xfId="0" applyFont="1" applyFill="1"/>
    <xf numFmtId="14" fontId="1" fillId="3" borderId="0" xfId="0" applyNumberFormat="1" applyFont="1" applyFill="1"/>
    <xf numFmtId="0" fontId="1" fillId="4" borderId="0" xfId="0" applyFont="1" applyFill="1"/>
    <xf numFmtId="14" fontId="1" fillId="4" borderId="0" xfId="0" applyNumberFormat="1" applyFont="1" applyFill="1"/>
    <xf numFmtId="0" fontId="5" fillId="4" borderId="0" xfId="1" applyFill="1"/>
    <xf numFmtId="49" fontId="1" fillId="0" borderId="0" xfId="0" applyNumberFormat="1" applyFont="1"/>
    <xf numFmtId="0" fontId="5" fillId="0" borderId="0" xfId="1" applyFill="1"/>
    <xf numFmtId="0" fontId="0" fillId="0" borderId="1" xfId="0" quotePrefix="1" applyBorder="1"/>
    <xf numFmtId="0" fontId="1" fillId="0" borderId="0" xfId="0" quotePrefix="1" applyFont="1"/>
    <xf numFmtId="0" fontId="0" fillId="0" borderId="1" xfId="0" applyBorder="1"/>
    <xf numFmtId="0" fontId="9" fillId="0" borderId="1" xfId="0" applyFont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top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">
    <dxf>
      <numFmt numFmtId="19" formatCode="dd/mm/yyyy"/>
    </dxf>
    <dxf>
      <numFmt numFmtId="19" formatCode="dd/mm/yyyy"/>
    </dxf>
    <dxf>
      <fill>
        <patternFill>
          <bgColor rgb="FFFFFF00"/>
        </patternFill>
      </fill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Scroll" dx="22" fmlaLink="$C$460" max="1000" min="1" page="10" val="44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sp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200026</xdr:colOff>
      <xdr:row>0</xdr:row>
      <xdr:rowOff>76200</xdr:rowOff>
    </xdr:from>
    <xdr:to>
      <xdr:col>1</xdr:col>
      <xdr:colOff>1064560</xdr:colOff>
      <xdr:row>3</xdr:row>
      <xdr:rowOff>89647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6" y="76200"/>
          <a:ext cx="1245534" cy="584947"/>
        </a:xfrm>
        <a:prstGeom prst="rect">
          <a:avLst/>
        </a:prstGeom>
        <a:noFill/>
      </xdr:spPr>
    </xdr:pic>
    <xdr:clientData/>
  </xdr:twoCellAnchor>
  <xdr:twoCellAnchor>
    <xdr:from>
      <xdr:col>0</xdr:col>
      <xdr:colOff>9527</xdr:colOff>
      <xdr:row>5</xdr:row>
      <xdr:rowOff>76200</xdr:rowOff>
    </xdr:from>
    <xdr:to>
      <xdr:col>3</xdr:col>
      <xdr:colOff>152401</xdr:colOff>
      <xdr:row>26</xdr:row>
      <xdr:rowOff>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27" y="1219200"/>
          <a:ext cx="4143374" cy="2638425"/>
        </a:xfrm>
        <a:custGeom>
          <a:avLst/>
          <a:gdLst>
            <a:gd name="connsiteX0" fmla="*/ 0 w 5257800"/>
            <a:gd name="connsiteY0" fmla="*/ 473084 h 2838450"/>
            <a:gd name="connsiteX1" fmla="*/ 473084 w 5257800"/>
            <a:gd name="connsiteY1" fmla="*/ 0 h 2838450"/>
            <a:gd name="connsiteX2" fmla="*/ 4784716 w 5257800"/>
            <a:gd name="connsiteY2" fmla="*/ 0 h 2838450"/>
            <a:gd name="connsiteX3" fmla="*/ 5257800 w 5257800"/>
            <a:gd name="connsiteY3" fmla="*/ 473084 h 2838450"/>
            <a:gd name="connsiteX4" fmla="*/ 5257800 w 5257800"/>
            <a:gd name="connsiteY4" fmla="*/ 2365366 h 2838450"/>
            <a:gd name="connsiteX5" fmla="*/ 4784716 w 5257800"/>
            <a:gd name="connsiteY5" fmla="*/ 2838450 h 2838450"/>
            <a:gd name="connsiteX6" fmla="*/ 473084 w 5257800"/>
            <a:gd name="connsiteY6" fmla="*/ 2838450 h 2838450"/>
            <a:gd name="connsiteX7" fmla="*/ 0 w 5257800"/>
            <a:gd name="connsiteY7" fmla="*/ 2365366 h 2838450"/>
            <a:gd name="connsiteX8" fmla="*/ 0 w 5257800"/>
            <a:gd name="connsiteY8" fmla="*/ 473084 h 2838450"/>
            <a:gd name="connsiteX0" fmla="*/ 0 w 5262605"/>
            <a:gd name="connsiteY0" fmla="*/ 473084 h 2838450"/>
            <a:gd name="connsiteX1" fmla="*/ 473084 w 5262605"/>
            <a:gd name="connsiteY1" fmla="*/ 0 h 2838450"/>
            <a:gd name="connsiteX2" fmla="*/ 5051416 w 5262605"/>
            <a:gd name="connsiteY2" fmla="*/ 28575 h 2838450"/>
            <a:gd name="connsiteX3" fmla="*/ 5257800 w 5262605"/>
            <a:gd name="connsiteY3" fmla="*/ 473084 h 2838450"/>
            <a:gd name="connsiteX4" fmla="*/ 5257800 w 5262605"/>
            <a:gd name="connsiteY4" fmla="*/ 2365366 h 2838450"/>
            <a:gd name="connsiteX5" fmla="*/ 4784716 w 5262605"/>
            <a:gd name="connsiteY5" fmla="*/ 2838450 h 2838450"/>
            <a:gd name="connsiteX6" fmla="*/ 473084 w 5262605"/>
            <a:gd name="connsiteY6" fmla="*/ 2838450 h 2838450"/>
            <a:gd name="connsiteX7" fmla="*/ 0 w 5262605"/>
            <a:gd name="connsiteY7" fmla="*/ 2365366 h 2838450"/>
            <a:gd name="connsiteX8" fmla="*/ 0 w 5262605"/>
            <a:gd name="connsiteY8" fmla="*/ 473084 h 2838450"/>
            <a:gd name="connsiteX0" fmla="*/ 739 w 5263344"/>
            <a:gd name="connsiteY0" fmla="*/ 463559 h 2828925"/>
            <a:gd name="connsiteX1" fmla="*/ 235698 w 5263344"/>
            <a:gd name="connsiteY1" fmla="*/ 0 h 2828925"/>
            <a:gd name="connsiteX2" fmla="*/ 5052155 w 5263344"/>
            <a:gd name="connsiteY2" fmla="*/ 19050 h 2828925"/>
            <a:gd name="connsiteX3" fmla="*/ 5258539 w 5263344"/>
            <a:gd name="connsiteY3" fmla="*/ 463559 h 2828925"/>
            <a:gd name="connsiteX4" fmla="*/ 5258539 w 5263344"/>
            <a:gd name="connsiteY4" fmla="*/ 2355841 h 2828925"/>
            <a:gd name="connsiteX5" fmla="*/ 4785455 w 5263344"/>
            <a:gd name="connsiteY5" fmla="*/ 2828925 h 2828925"/>
            <a:gd name="connsiteX6" fmla="*/ 473823 w 5263344"/>
            <a:gd name="connsiteY6" fmla="*/ 2828925 h 2828925"/>
            <a:gd name="connsiteX7" fmla="*/ 739 w 5263344"/>
            <a:gd name="connsiteY7" fmla="*/ 2355841 h 2828925"/>
            <a:gd name="connsiteX8" fmla="*/ 739 w 5263344"/>
            <a:gd name="connsiteY8" fmla="*/ 463559 h 2828925"/>
            <a:gd name="connsiteX0" fmla="*/ 739 w 5268198"/>
            <a:gd name="connsiteY0" fmla="*/ 463559 h 2838450"/>
            <a:gd name="connsiteX1" fmla="*/ 235698 w 5268198"/>
            <a:gd name="connsiteY1" fmla="*/ 0 h 2838450"/>
            <a:gd name="connsiteX2" fmla="*/ 5052155 w 5268198"/>
            <a:gd name="connsiteY2" fmla="*/ 19050 h 2838450"/>
            <a:gd name="connsiteX3" fmla="*/ 5258539 w 5268198"/>
            <a:gd name="connsiteY3" fmla="*/ 463559 h 2838450"/>
            <a:gd name="connsiteX4" fmla="*/ 5258539 w 5268198"/>
            <a:gd name="connsiteY4" fmla="*/ 2355841 h 2838450"/>
            <a:gd name="connsiteX5" fmla="*/ 5071205 w 5268198"/>
            <a:gd name="connsiteY5" fmla="*/ 2838450 h 2838450"/>
            <a:gd name="connsiteX6" fmla="*/ 473823 w 5268198"/>
            <a:gd name="connsiteY6" fmla="*/ 2828925 h 2838450"/>
            <a:gd name="connsiteX7" fmla="*/ 739 w 5268198"/>
            <a:gd name="connsiteY7" fmla="*/ 2355841 h 2838450"/>
            <a:gd name="connsiteX8" fmla="*/ 739 w 5268198"/>
            <a:gd name="connsiteY8" fmla="*/ 463559 h 2838450"/>
            <a:gd name="connsiteX0" fmla="*/ 9659 w 5277118"/>
            <a:gd name="connsiteY0" fmla="*/ 463559 h 2838450"/>
            <a:gd name="connsiteX1" fmla="*/ 244618 w 5277118"/>
            <a:gd name="connsiteY1" fmla="*/ 0 h 2838450"/>
            <a:gd name="connsiteX2" fmla="*/ 5061075 w 5277118"/>
            <a:gd name="connsiteY2" fmla="*/ 19050 h 2838450"/>
            <a:gd name="connsiteX3" fmla="*/ 5267459 w 5277118"/>
            <a:gd name="connsiteY3" fmla="*/ 463559 h 2838450"/>
            <a:gd name="connsiteX4" fmla="*/ 5267459 w 5277118"/>
            <a:gd name="connsiteY4" fmla="*/ 2355841 h 2838450"/>
            <a:gd name="connsiteX5" fmla="*/ 5080125 w 5277118"/>
            <a:gd name="connsiteY5" fmla="*/ 2838450 h 2838450"/>
            <a:gd name="connsiteX6" fmla="*/ 196993 w 5277118"/>
            <a:gd name="connsiteY6" fmla="*/ 2828925 h 2838450"/>
            <a:gd name="connsiteX7" fmla="*/ 9659 w 5277118"/>
            <a:gd name="connsiteY7" fmla="*/ 2355841 h 2838450"/>
            <a:gd name="connsiteX8" fmla="*/ 9659 w 5277118"/>
            <a:gd name="connsiteY8" fmla="*/ 463559 h 28384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277118" h="2838450">
              <a:moveTo>
                <a:pt x="9659" y="463559"/>
              </a:moveTo>
              <a:cubicBezTo>
                <a:pt x="9659" y="202282"/>
                <a:pt x="-16659" y="0"/>
                <a:pt x="244618" y="0"/>
              </a:cubicBezTo>
              <a:lnTo>
                <a:pt x="5061075" y="19050"/>
              </a:lnTo>
              <a:cubicBezTo>
                <a:pt x="5322352" y="19050"/>
                <a:pt x="5267459" y="202282"/>
                <a:pt x="5267459" y="463559"/>
              </a:cubicBezTo>
              <a:lnTo>
                <a:pt x="5267459" y="2355841"/>
              </a:lnTo>
              <a:cubicBezTo>
                <a:pt x="5267459" y="2617118"/>
                <a:pt x="5341402" y="2838450"/>
                <a:pt x="5080125" y="2838450"/>
              </a:cubicBezTo>
              <a:lnTo>
                <a:pt x="196993" y="2828925"/>
              </a:lnTo>
              <a:cubicBezTo>
                <a:pt x="-64284" y="2828925"/>
                <a:pt x="9659" y="2617118"/>
                <a:pt x="9659" y="2355841"/>
              </a:cubicBezTo>
              <a:lnTo>
                <a:pt x="9659" y="463559"/>
              </a:lnTo>
              <a:close/>
            </a:path>
          </a:pathLst>
        </a:cu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304800</xdr:colOff>
      <xdr:row>8</xdr:row>
      <xdr:rowOff>76200</xdr:rowOff>
    </xdr:from>
    <xdr:to>
      <xdr:col>7</xdr:col>
      <xdr:colOff>302559</xdr:colOff>
      <xdr:row>26</xdr:row>
      <xdr:rowOff>11205</xdr:rowOff>
    </xdr:to>
    <xdr:sp macro="" textlink="">
      <xdr:nvSpPr>
        <xdr:cNvPr id="4" name="Rectángulo redondead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05300" y="1095935"/>
          <a:ext cx="4087906" cy="2254623"/>
        </a:xfrm>
        <a:custGeom>
          <a:avLst/>
          <a:gdLst>
            <a:gd name="connsiteX0" fmla="*/ 0 w 5257800"/>
            <a:gd name="connsiteY0" fmla="*/ 473084 h 2838450"/>
            <a:gd name="connsiteX1" fmla="*/ 473084 w 5257800"/>
            <a:gd name="connsiteY1" fmla="*/ 0 h 2838450"/>
            <a:gd name="connsiteX2" fmla="*/ 4784716 w 5257800"/>
            <a:gd name="connsiteY2" fmla="*/ 0 h 2838450"/>
            <a:gd name="connsiteX3" fmla="*/ 5257800 w 5257800"/>
            <a:gd name="connsiteY3" fmla="*/ 473084 h 2838450"/>
            <a:gd name="connsiteX4" fmla="*/ 5257800 w 5257800"/>
            <a:gd name="connsiteY4" fmla="*/ 2365366 h 2838450"/>
            <a:gd name="connsiteX5" fmla="*/ 4784716 w 5257800"/>
            <a:gd name="connsiteY5" fmla="*/ 2838450 h 2838450"/>
            <a:gd name="connsiteX6" fmla="*/ 473084 w 5257800"/>
            <a:gd name="connsiteY6" fmla="*/ 2838450 h 2838450"/>
            <a:gd name="connsiteX7" fmla="*/ 0 w 5257800"/>
            <a:gd name="connsiteY7" fmla="*/ 2365366 h 2838450"/>
            <a:gd name="connsiteX8" fmla="*/ 0 w 5257800"/>
            <a:gd name="connsiteY8" fmla="*/ 473084 h 2838450"/>
            <a:gd name="connsiteX0" fmla="*/ 0 w 5262605"/>
            <a:gd name="connsiteY0" fmla="*/ 473084 h 2838450"/>
            <a:gd name="connsiteX1" fmla="*/ 473084 w 5262605"/>
            <a:gd name="connsiteY1" fmla="*/ 0 h 2838450"/>
            <a:gd name="connsiteX2" fmla="*/ 5051416 w 5262605"/>
            <a:gd name="connsiteY2" fmla="*/ 28575 h 2838450"/>
            <a:gd name="connsiteX3" fmla="*/ 5257800 w 5262605"/>
            <a:gd name="connsiteY3" fmla="*/ 473084 h 2838450"/>
            <a:gd name="connsiteX4" fmla="*/ 5257800 w 5262605"/>
            <a:gd name="connsiteY4" fmla="*/ 2365366 h 2838450"/>
            <a:gd name="connsiteX5" fmla="*/ 4784716 w 5262605"/>
            <a:gd name="connsiteY5" fmla="*/ 2838450 h 2838450"/>
            <a:gd name="connsiteX6" fmla="*/ 473084 w 5262605"/>
            <a:gd name="connsiteY6" fmla="*/ 2838450 h 2838450"/>
            <a:gd name="connsiteX7" fmla="*/ 0 w 5262605"/>
            <a:gd name="connsiteY7" fmla="*/ 2365366 h 2838450"/>
            <a:gd name="connsiteX8" fmla="*/ 0 w 5262605"/>
            <a:gd name="connsiteY8" fmla="*/ 473084 h 2838450"/>
            <a:gd name="connsiteX0" fmla="*/ 739 w 5263344"/>
            <a:gd name="connsiteY0" fmla="*/ 463559 h 2828925"/>
            <a:gd name="connsiteX1" fmla="*/ 235698 w 5263344"/>
            <a:gd name="connsiteY1" fmla="*/ 0 h 2828925"/>
            <a:gd name="connsiteX2" fmla="*/ 5052155 w 5263344"/>
            <a:gd name="connsiteY2" fmla="*/ 19050 h 2828925"/>
            <a:gd name="connsiteX3" fmla="*/ 5258539 w 5263344"/>
            <a:gd name="connsiteY3" fmla="*/ 463559 h 2828925"/>
            <a:gd name="connsiteX4" fmla="*/ 5258539 w 5263344"/>
            <a:gd name="connsiteY4" fmla="*/ 2355841 h 2828925"/>
            <a:gd name="connsiteX5" fmla="*/ 4785455 w 5263344"/>
            <a:gd name="connsiteY5" fmla="*/ 2828925 h 2828925"/>
            <a:gd name="connsiteX6" fmla="*/ 473823 w 5263344"/>
            <a:gd name="connsiteY6" fmla="*/ 2828925 h 2828925"/>
            <a:gd name="connsiteX7" fmla="*/ 739 w 5263344"/>
            <a:gd name="connsiteY7" fmla="*/ 2355841 h 2828925"/>
            <a:gd name="connsiteX8" fmla="*/ 739 w 5263344"/>
            <a:gd name="connsiteY8" fmla="*/ 463559 h 2828925"/>
            <a:gd name="connsiteX0" fmla="*/ 739 w 5268198"/>
            <a:gd name="connsiteY0" fmla="*/ 463559 h 2838450"/>
            <a:gd name="connsiteX1" fmla="*/ 235698 w 5268198"/>
            <a:gd name="connsiteY1" fmla="*/ 0 h 2838450"/>
            <a:gd name="connsiteX2" fmla="*/ 5052155 w 5268198"/>
            <a:gd name="connsiteY2" fmla="*/ 19050 h 2838450"/>
            <a:gd name="connsiteX3" fmla="*/ 5258539 w 5268198"/>
            <a:gd name="connsiteY3" fmla="*/ 463559 h 2838450"/>
            <a:gd name="connsiteX4" fmla="*/ 5258539 w 5268198"/>
            <a:gd name="connsiteY4" fmla="*/ 2355841 h 2838450"/>
            <a:gd name="connsiteX5" fmla="*/ 5071205 w 5268198"/>
            <a:gd name="connsiteY5" fmla="*/ 2838450 h 2838450"/>
            <a:gd name="connsiteX6" fmla="*/ 473823 w 5268198"/>
            <a:gd name="connsiteY6" fmla="*/ 2828925 h 2838450"/>
            <a:gd name="connsiteX7" fmla="*/ 739 w 5268198"/>
            <a:gd name="connsiteY7" fmla="*/ 2355841 h 2838450"/>
            <a:gd name="connsiteX8" fmla="*/ 739 w 5268198"/>
            <a:gd name="connsiteY8" fmla="*/ 463559 h 2838450"/>
            <a:gd name="connsiteX0" fmla="*/ 9659 w 5277118"/>
            <a:gd name="connsiteY0" fmla="*/ 463559 h 2838450"/>
            <a:gd name="connsiteX1" fmla="*/ 244618 w 5277118"/>
            <a:gd name="connsiteY1" fmla="*/ 0 h 2838450"/>
            <a:gd name="connsiteX2" fmla="*/ 5061075 w 5277118"/>
            <a:gd name="connsiteY2" fmla="*/ 19050 h 2838450"/>
            <a:gd name="connsiteX3" fmla="*/ 5267459 w 5277118"/>
            <a:gd name="connsiteY3" fmla="*/ 463559 h 2838450"/>
            <a:gd name="connsiteX4" fmla="*/ 5267459 w 5277118"/>
            <a:gd name="connsiteY4" fmla="*/ 2355841 h 2838450"/>
            <a:gd name="connsiteX5" fmla="*/ 5080125 w 5277118"/>
            <a:gd name="connsiteY5" fmla="*/ 2838450 h 2838450"/>
            <a:gd name="connsiteX6" fmla="*/ 196993 w 5277118"/>
            <a:gd name="connsiteY6" fmla="*/ 2828925 h 2838450"/>
            <a:gd name="connsiteX7" fmla="*/ 9659 w 5277118"/>
            <a:gd name="connsiteY7" fmla="*/ 2355841 h 2838450"/>
            <a:gd name="connsiteX8" fmla="*/ 9659 w 5277118"/>
            <a:gd name="connsiteY8" fmla="*/ 463559 h 28384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277118" h="2838450">
              <a:moveTo>
                <a:pt x="9659" y="463559"/>
              </a:moveTo>
              <a:cubicBezTo>
                <a:pt x="9659" y="202282"/>
                <a:pt x="-16659" y="0"/>
                <a:pt x="244618" y="0"/>
              </a:cubicBezTo>
              <a:lnTo>
                <a:pt x="5061075" y="19050"/>
              </a:lnTo>
              <a:cubicBezTo>
                <a:pt x="5322352" y="19050"/>
                <a:pt x="5267459" y="202282"/>
                <a:pt x="5267459" y="463559"/>
              </a:cubicBezTo>
              <a:lnTo>
                <a:pt x="5267459" y="2355841"/>
              </a:lnTo>
              <a:cubicBezTo>
                <a:pt x="5267459" y="2617118"/>
                <a:pt x="5341402" y="2838450"/>
                <a:pt x="5080125" y="2838450"/>
              </a:cubicBezTo>
              <a:lnTo>
                <a:pt x="196993" y="2828925"/>
              </a:lnTo>
              <a:cubicBezTo>
                <a:pt x="-64284" y="2828925"/>
                <a:pt x="9659" y="2617118"/>
                <a:pt x="9659" y="2355841"/>
              </a:cubicBezTo>
              <a:lnTo>
                <a:pt x="9659" y="463559"/>
              </a:lnTo>
              <a:close/>
            </a:path>
          </a:pathLst>
        </a:cu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1143000</xdr:colOff>
      <xdr:row>30</xdr:row>
      <xdr:rowOff>11206</xdr:rowOff>
    </xdr:from>
    <xdr:to>
      <xdr:col>5</xdr:col>
      <xdr:colOff>582706</xdr:colOff>
      <xdr:row>30</xdr:row>
      <xdr:rowOff>11206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2711824" y="5311588"/>
          <a:ext cx="296955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974912</xdr:colOff>
      <xdr:row>27</xdr:row>
      <xdr:rowOff>1008529</xdr:rowOff>
    </xdr:from>
    <xdr:to>
      <xdr:col>7</xdr:col>
      <xdr:colOff>367556</xdr:colOff>
      <xdr:row>30</xdr:row>
      <xdr:rowOff>78442</xdr:rowOff>
    </xdr:to>
    <xdr:sp macro="" textlink="">
      <xdr:nvSpPr>
        <xdr:cNvPr id="11" name="Rectángulo redondeado 2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073588" y="4919382"/>
          <a:ext cx="2384615" cy="2084295"/>
        </a:xfrm>
        <a:custGeom>
          <a:avLst/>
          <a:gdLst>
            <a:gd name="connsiteX0" fmla="*/ 0 w 5257800"/>
            <a:gd name="connsiteY0" fmla="*/ 473084 h 2838450"/>
            <a:gd name="connsiteX1" fmla="*/ 473084 w 5257800"/>
            <a:gd name="connsiteY1" fmla="*/ 0 h 2838450"/>
            <a:gd name="connsiteX2" fmla="*/ 4784716 w 5257800"/>
            <a:gd name="connsiteY2" fmla="*/ 0 h 2838450"/>
            <a:gd name="connsiteX3" fmla="*/ 5257800 w 5257800"/>
            <a:gd name="connsiteY3" fmla="*/ 473084 h 2838450"/>
            <a:gd name="connsiteX4" fmla="*/ 5257800 w 5257800"/>
            <a:gd name="connsiteY4" fmla="*/ 2365366 h 2838450"/>
            <a:gd name="connsiteX5" fmla="*/ 4784716 w 5257800"/>
            <a:gd name="connsiteY5" fmla="*/ 2838450 h 2838450"/>
            <a:gd name="connsiteX6" fmla="*/ 473084 w 5257800"/>
            <a:gd name="connsiteY6" fmla="*/ 2838450 h 2838450"/>
            <a:gd name="connsiteX7" fmla="*/ 0 w 5257800"/>
            <a:gd name="connsiteY7" fmla="*/ 2365366 h 2838450"/>
            <a:gd name="connsiteX8" fmla="*/ 0 w 5257800"/>
            <a:gd name="connsiteY8" fmla="*/ 473084 h 2838450"/>
            <a:gd name="connsiteX0" fmla="*/ 0 w 5262605"/>
            <a:gd name="connsiteY0" fmla="*/ 473084 h 2838450"/>
            <a:gd name="connsiteX1" fmla="*/ 473084 w 5262605"/>
            <a:gd name="connsiteY1" fmla="*/ 0 h 2838450"/>
            <a:gd name="connsiteX2" fmla="*/ 5051416 w 5262605"/>
            <a:gd name="connsiteY2" fmla="*/ 28575 h 2838450"/>
            <a:gd name="connsiteX3" fmla="*/ 5257800 w 5262605"/>
            <a:gd name="connsiteY3" fmla="*/ 473084 h 2838450"/>
            <a:gd name="connsiteX4" fmla="*/ 5257800 w 5262605"/>
            <a:gd name="connsiteY4" fmla="*/ 2365366 h 2838450"/>
            <a:gd name="connsiteX5" fmla="*/ 4784716 w 5262605"/>
            <a:gd name="connsiteY5" fmla="*/ 2838450 h 2838450"/>
            <a:gd name="connsiteX6" fmla="*/ 473084 w 5262605"/>
            <a:gd name="connsiteY6" fmla="*/ 2838450 h 2838450"/>
            <a:gd name="connsiteX7" fmla="*/ 0 w 5262605"/>
            <a:gd name="connsiteY7" fmla="*/ 2365366 h 2838450"/>
            <a:gd name="connsiteX8" fmla="*/ 0 w 5262605"/>
            <a:gd name="connsiteY8" fmla="*/ 473084 h 2838450"/>
            <a:gd name="connsiteX0" fmla="*/ 739 w 5263344"/>
            <a:gd name="connsiteY0" fmla="*/ 463559 h 2828925"/>
            <a:gd name="connsiteX1" fmla="*/ 235698 w 5263344"/>
            <a:gd name="connsiteY1" fmla="*/ 0 h 2828925"/>
            <a:gd name="connsiteX2" fmla="*/ 5052155 w 5263344"/>
            <a:gd name="connsiteY2" fmla="*/ 19050 h 2828925"/>
            <a:gd name="connsiteX3" fmla="*/ 5258539 w 5263344"/>
            <a:gd name="connsiteY3" fmla="*/ 463559 h 2828925"/>
            <a:gd name="connsiteX4" fmla="*/ 5258539 w 5263344"/>
            <a:gd name="connsiteY4" fmla="*/ 2355841 h 2828925"/>
            <a:gd name="connsiteX5" fmla="*/ 4785455 w 5263344"/>
            <a:gd name="connsiteY5" fmla="*/ 2828925 h 2828925"/>
            <a:gd name="connsiteX6" fmla="*/ 473823 w 5263344"/>
            <a:gd name="connsiteY6" fmla="*/ 2828925 h 2828925"/>
            <a:gd name="connsiteX7" fmla="*/ 739 w 5263344"/>
            <a:gd name="connsiteY7" fmla="*/ 2355841 h 2828925"/>
            <a:gd name="connsiteX8" fmla="*/ 739 w 5263344"/>
            <a:gd name="connsiteY8" fmla="*/ 463559 h 2828925"/>
            <a:gd name="connsiteX0" fmla="*/ 739 w 5268198"/>
            <a:gd name="connsiteY0" fmla="*/ 463559 h 2838450"/>
            <a:gd name="connsiteX1" fmla="*/ 235698 w 5268198"/>
            <a:gd name="connsiteY1" fmla="*/ 0 h 2838450"/>
            <a:gd name="connsiteX2" fmla="*/ 5052155 w 5268198"/>
            <a:gd name="connsiteY2" fmla="*/ 19050 h 2838450"/>
            <a:gd name="connsiteX3" fmla="*/ 5258539 w 5268198"/>
            <a:gd name="connsiteY3" fmla="*/ 463559 h 2838450"/>
            <a:gd name="connsiteX4" fmla="*/ 5258539 w 5268198"/>
            <a:gd name="connsiteY4" fmla="*/ 2355841 h 2838450"/>
            <a:gd name="connsiteX5" fmla="*/ 5071205 w 5268198"/>
            <a:gd name="connsiteY5" fmla="*/ 2838450 h 2838450"/>
            <a:gd name="connsiteX6" fmla="*/ 473823 w 5268198"/>
            <a:gd name="connsiteY6" fmla="*/ 2828925 h 2838450"/>
            <a:gd name="connsiteX7" fmla="*/ 739 w 5268198"/>
            <a:gd name="connsiteY7" fmla="*/ 2355841 h 2838450"/>
            <a:gd name="connsiteX8" fmla="*/ 739 w 5268198"/>
            <a:gd name="connsiteY8" fmla="*/ 463559 h 2838450"/>
            <a:gd name="connsiteX0" fmla="*/ 9659 w 5277118"/>
            <a:gd name="connsiteY0" fmla="*/ 463559 h 2838450"/>
            <a:gd name="connsiteX1" fmla="*/ 244618 w 5277118"/>
            <a:gd name="connsiteY1" fmla="*/ 0 h 2838450"/>
            <a:gd name="connsiteX2" fmla="*/ 5061075 w 5277118"/>
            <a:gd name="connsiteY2" fmla="*/ 19050 h 2838450"/>
            <a:gd name="connsiteX3" fmla="*/ 5267459 w 5277118"/>
            <a:gd name="connsiteY3" fmla="*/ 463559 h 2838450"/>
            <a:gd name="connsiteX4" fmla="*/ 5267459 w 5277118"/>
            <a:gd name="connsiteY4" fmla="*/ 2355841 h 2838450"/>
            <a:gd name="connsiteX5" fmla="*/ 5080125 w 5277118"/>
            <a:gd name="connsiteY5" fmla="*/ 2838450 h 2838450"/>
            <a:gd name="connsiteX6" fmla="*/ 196993 w 5277118"/>
            <a:gd name="connsiteY6" fmla="*/ 2828925 h 2838450"/>
            <a:gd name="connsiteX7" fmla="*/ 9659 w 5277118"/>
            <a:gd name="connsiteY7" fmla="*/ 2355841 h 2838450"/>
            <a:gd name="connsiteX8" fmla="*/ 9659 w 5277118"/>
            <a:gd name="connsiteY8" fmla="*/ 463559 h 28384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5277118" h="2838450">
              <a:moveTo>
                <a:pt x="9659" y="463559"/>
              </a:moveTo>
              <a:cubicBezTo>
                <a:pt x="9659" y="202282"/>
                <a:pt x="-16659" y="0"/>
                <a:pt x="244618" y="0"/>
              </a:cubicBezTo>
              <a:lnTo>
                <a:pt x="5061075" y="19050"/>
              </a:lnTo>
              <a:cubicBezTo>
                <a:pt x="5322352" y="19050"/>
                <a:pt x="5267459" y="202282"/>
                <a:pt x="5267459" y="463559"/>
              </a:cubicBezTo>
              <a:lnTo>
                <a:pt x="5267459" y="2355841"/>
              </a:lnTo>
              <a:cubicBezTo>
                <a:pt x="5267459" y="2617118"/>
                <a:pt x="5341402" y="2838450"/>
                <a:pt x="5080125" y="2838450"/>
              </a:cubicBezTo>
              <a:lnTo>
                <a:pt x="196993" y="2828925"/>
              </a:lnTo>
              <a:cubicBezTo>
                <a:pt x="-64284" y="2828925"/>
                <a:pt x="9659" y="2617118"/>
                <a:pt x="9659" y="2355841"/>
              </a:cubicBezTo>
              <a:lnTo>
                <a:pt x="9659" y="463559"/>
              </a:lnTo>
              <a:close/>
            </a:path>
          </a:pathLst>
        </a:custGeom>
        <a:noFill/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C" sz="900" b="1"/>
            <a:t>Nota.- </a:t>
          </a:r>
          <a:r>
            <a:rPr lang="es-EC" sz="900"/>
            <a:t>Puede revisar si el registro ha sido rehabilitado en la base de datos nacional, escaneando el </a:t>
          </a:r>
          <a:r>
            <a:rPr lang="es-EC" sz="900" b="1"/>
            <a:t>código QR</a:t>
          </a:r>
          <a:r>
            <a:rPr lang="es-EC" sz="10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2</xdr:row>
          <xdr:rowOff>161925</xdr:rowOff>
        </xdr:from>
        <xdr:to>
          <xdr:col>9</xdr:col>
          <xdr:colOff>504825</xdr:colOff>
          <xdr:row>4</xdr:row>
          <xdr:rowOff>85725</xdr:rowOff>
        </xdr:to>
        <xdr:sp macro="" textlink="">
          <xdr:nvSpPr>
            <xdr:cNvPr id="1068" name="BtnNuev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2</xdr:row>
          <xdr:rowOff>152400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1069" name="BtnGuardar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4</xdr:row>
          <xdr:rowOff>161925</xdr:rowOff>
        </xdr:from>
        <xdr:to>
          <xdr:col>9</xdr:col>
          <xdr:colOff>504825</xdr:colOff>
          <xdr:row>6</xdr:row>
          <xdr:rowOff>95250</xdr:rowOff>
        </xdr:to>
        <xdr:sp macro="" textlink="">
          <xdr:nvSpPr>
            <xdr:cNvPr id="1071" name="BtnLimpiar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4</xdr:row>
          <xdr:rowOff>161925</xdr:rowOff>
        </xdr:from>
        <xdr:to>
          <xdr:col>11</xdr:col>
          <xdr:colOff>9525</xdr:colOff>
          <xdr:row>6</xdr:row>
          <xdr:rowOff>95250</xdr:rowOff>
        </xdr:to>
        <xdr:sp macro="" textlink="">
          <xdr:nvSpPr>
            <xdr:cNvPr id="1072" name="BtnHoy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6</xdr:row>
          <xdr:rowOff>161925</xdr:rowOff>
        </xdr:from>
        <xdr:to>
          <xdr:col>10</xdr:col>
          <xdr:colOff>485775</xdr:colOff>
          <xdr:row>9</xdr:row>
          <xdr:rowOff>28575</xdr:rowOff>
        </xdr:to>
        <xdr:sp macro="" textlink="">
          <xdr:nvSpPr>
            <xdr:cNvPr id="1073" name="BtnQR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</xdr:row>
          <xdr:rowOff>171450</xdr:rowOff>
        </xdr:from>
        <xdr:to>
          <xdr:col>11</xdr:col>
          <xdr:colOff>238125</xdr:colOff>
          <xdr:row>10</xdr:row>
          <xdr:rowOff>152400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Botones de Control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30</xdr:row>
      <xdr:rowOff>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5F3D01B-99D5-4DEB-A792-DC41B391D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5486400"/>
          <a:ext cx="1619250" cy="1428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104775</xdr:colOff>
          <xdr:row>465</xdr:row>
          <xdr:rowOff>180975</xdr:rowOff>
        </xdr:to>
        <xdr:sp macro="" textlink="">
          <xdr:nvSpPr>
            <xdr:cNvPr id="2049" name="Scroll Ba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23813</xdr:colOff>
      <xdr:row>458</xdr:row>
      <xdr:rowOff>119061</xdr:rowOff>
    </xdr:from>
    <xdr:to>
      <xdr:col>3</xdr:col>
      <xdr:colOff>1440657</xdr:colOff>
      <xdr:row>460</xdr:row>
      <xdr:rowOff>59530</xdr:rowOff>
    </xdr:to>
    <xdr:sp macro="[0]!SetInforme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95501" y="7929561"/>
          <a:ext cx="1416844" cy="321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GENERAR INFORME</a:t>
          </a:r>
        </a:p>
      </xdr:txBody>
    </xdr:sp>
    <xdr:clientData/>
  </xdr:twoCellAnchor>
  <xdr:twoCellAnchor>
    <xdr:from>
      <xdr:col>4</xdr:col>
      <xdr:colOff>35719</xdr:colOff>
      <xdr:row>458</xdr:row>
      <xdr:rowOff>130969</xdr:rowOff>
    </xdr:from>
    <xdr:to>
      <xdr:col>5</xdr:col>
      <xdr:colOff>976312</xdr:colOff>
      <xdr:row>460</xdr:row>
      <xdr:rowOff>83344</xdr:rowOff>
    </xdr:to>
    <xdr:sp macro="[0]!SetInformeHC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940969" y="10036969"/>
          <a:ext cx="2297906" cy="3333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/>
            <a:t>INFORME</a:t>
          </a:r>
          <a:r>
            <a:rPr lang="es-EC" sz="1100" baseline="0"/>
            <a:t> CANJE - HOMOLOGACIÓN</a:t>
          </a:r>
          <a:endParaRPr lang="es-EC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2:N459" totalsRowCount="1" headerRowDxfId="5">
  <autoFilter ref="B2:N458" xr:uid="{00000000-0009-0000-0100-000001000000}"/>
  <sortState xmlns:xlrd2="http://schemas.microsoft.com/office/spreadsheetml/2017/richdata2" ref="B3:N458">
    <sortCondition ref="B2:B458"/>
  </sortState>
  <tableColumns count="13">
    <tableColumn id="1" xr3:uid="{00000000-0010-0000-0000-000001000000}" name="Nro." totalsRowFunction="count"/>
    <tableColumn id="2" xr3:uid="{00000000-0010-0000-0000-000002000000}" name="CÉDULA:"/>
    <tableColumn id="3" xr3:uid="{00000000-0010-0000-0000-000003000000}" name="APELLIDOS Y NOMBRES:"/>
    <tableColumn id="4" xr3:uid="{00000000-0010-0000-0000-000004000000}" name="EMAIL:"/>
    <tableColumn id="5" xr3:uid="{00000000-0010-0000-0000-000005000000}" name="TELÉFONO CELULAR:"/>
    <tableColumn id="6" xr3:uid="{00000000-0010-0000-0000-000006000000}" name="TIPO DE TRÁMITE:"/>
    <tableColumn id="7" xr3:uid="{00000000-0010-0000-0000-000007000000}" name="CATEGORÍA:"/>
    <tableColumn id="8" xr3:uid="{00000000-0010-0000-0000-000008000000}" name="NÚMERO DE TRÁMITE"/>
    <tableColumn id="9" xr3:uid="{00000000-0010-0000-0000-000009000000}" name="FECHA DE GENERACIÓN:" dataDxfId="4" totalsRowDxfId="1"/>
    <tableColumn id="10" xr3:uid="{00000000-0010-0000-0000-00000A000000}" name="USUARIO AXIS:"/>
    <tableColumn id="11" xr3:uid="{00000000-0010-0000-0000-00000B000000}" name="FECHA DE SOLICITUD:" dataDxfId="3" totalsRowDxfId="0"/>
    <tableColumn id="12" xr3:uid="{00000000-0010-0000-0000-00000C000000}" name="OBSERVACIONES:"/>
    <tableColumn id="13" xr3:uid="{00000000-0010-0000-0000-00000D000000}" name="Faltan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5FA87A-E20B-4D78-9FE7-3AD74AB22CBB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daniel30jk@hotmail.com" TargetMode="External"/><Relationship Id="rId13" Type="http://schemas.openxmlformats.org/officeDocument/2006/relationships/vmlDrawing" Target="../drawings/vmlDrawing2.vml"/><Relationship Id="rId3" Type="http://schemas.openxmlformats.org/officeDocument/2006/relationships/hyperlink" Target="mailto:aldaz_daniel@hotmail.com" TargetMode="External"/><Relationship Id="rId7" Type="http://schemas.openxmlformats.org/officeDocument/2006/relationships/hyperlink" Target="mailto:melanieizuna35@gmail.com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mailto:miretitu_26@hotmail.com" TargetMode="External"/><Relationship Id="rId1" Type="http://schemas.openxmlformats.org/officeDocument/2006/relationships/hyperlink" Target="mailto:chris.yangua@gmail.com" TargetMode="External"/><Relationship Id="rId6" Type="http://schemas.openxmlformats.org/officeDocument/2006/relationships/hyperlink" Target="mailto:diegocalva813@gmail.com" TargetMode="External"/><Relationship Id="rId11" Type="http://schemas.openxmlformats.org/officeDocument/2006/relationships/printerSettings" Target="../printerSettings/printerSettings2.bin"/><Relationship Id="rId5" Type="http://schemas.openxmlformats.org/officeDocument/2006/relationships/hyperlink" Target="mailto:verafelipe273@gmail.com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brandon20charlie@gmail.com" TargetMode="External"/><Relationship Id="rId4" Type="http://schemas.openxmlformats.org/officeDocument/2006/relationships/hyperlink" Target="mailto:enri82eltravieso@hotmail.com" TargetMode="External"/><Relationship Id="rId9" Type="http://schemas.openxmlformats.org/officeDocument/2006/relationships/hyperlink" Target="mailto:pacificsecurityforce@hotmail.com" TargetMode="External"/><Relationship Id="rId1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35"/>
  <sheetViews>
    <sheetView showGridLines="0" tabSelected="1" zoomScaleNormal="100" workbookViewId="0">
      <selection activeCell="E23" activeCellId="5" sqref="E13:G13 E15:G15 E17:G17 E19:G19 E21:G21 E23:G23"/>
    </sheetView>
  </sheetViews>
  <sheetFormatPr baseColWidth="10" defaultRowHeight="15" x14ac:dyDescent="0.25"/>
  <cols>
    <col min="1" max="1" width="5.7109375" customWidth="1"/>
    <col min="2" max="2" width="17.85546875" customWidth="1"/>
    <col min="3" max="3" width="36.42578125" customWidth="1"/>
    <col min="4" max="4" width="6.42578125" customWidth="1"/>
    <col min="5" max="5" width="10" customWidth="1"/>
    <col min="6" max="6" width="20.42578125" customWidth="1"/>
    <col min="7" max="7" width="24.28515625" customWidth="1"/>
  </cols>
  <sheetData>
    <row r="1" spans="1:10" x14ac:dyDescent="0.25">
      <c r="A1" s="41" t="s">
        <v>0</v>
      </c>
      <c r="B1" s="41"/>
      <c r="C1" s="41"/>
      <c r="D1" s="41"/>
      <c r="E1" s="41"/>
      <c r="F1" s="41"/>
      <c r="G1" s="41"/>
    </row>
    <row r="2" spans="1:10" x14ac:dyDescent="0.25">
      <c r="A2" s="42" t="s">
        <v>1</v>
      </c>
      <c r="B2" s="42"/>
      <c r="C2" s="42"/>
      <c r="D2" s="42"/>
      <c r="E2" s="42"/>
      <c r="F2" s="42"/>
      <c r="G2" s="42"/>
    </row>
    <row r="3" spans="1:10" x14ac:dyDescent="0.25">
      <c r="A3" s="42" t="s">
        <v>2</v>
      </c>
      <c r="B3" s="42"/>
      <c r="C3" s="42"/>
      <c r="D3" s="42"/>
      <c r="E3" s="42"/>
      <c r="F3" s="42"/>
      <c r="G3" s="42"/>
    </row>
    <row r="4" spans="1:10" x14ac:dyDescent="0.25">
      <c r="A4" s="2"/>
      <c r="B4" s="2"/>
      <c r="C4" s="2"/>
      <c r="D4" s="2"/>
      <c r="E4" s="2"/>
      <c r="F4" s="2"/>
      <c r="G4" s="2"/>
    </row>
    <row r="5" spans="1:10" x14ac:dyDescent="0.25">
      <c r="A5" s="2"/>
      <c r="B5" s="1" t="s">
        <v>61</v>
      </c>
      <c r="C5" s="6"/>
      <c r="D5" s="2"/>
      <c r="E5" s="2"/>
      <c r="F5" s="2"/>
      <c r="G5" s="2"/>
    </row>
    <row r="7" spans="1:10" x14ac:dyDescent="0.25">
      <c r="B7" s="1" t="s">
        <v>3</v>
      </c>
      <c r="C7" s="37"/>
    </row>
    <row r="8" spans="1:10" ht="5.25" customHeight="1" x14ac:dyDescent="0.25"/>
    <row r="9" spans="1:10" x14ac:dyDescent="0.25">
      <c r="B9" s="1" t="s">
        <v>4</v>
      </c>
      <c r="C9" s="39"/>
    </row>
    <row r="10" spans="1:10" ht="5.25" customHeight="1" x14ac:dyDescent="0.25">
      <c r="C10" s="23"/>
    </row>
    <row r="11" spans="1:10" x14ac:dyDescent="0.25">
      <c r="B11" s="1" t="s">
        <v>5</v>
      </c>
      <c r="C11" s="28"/>
      <c r="E11" s="4" t="s">
        <v>38</v>
      </c>
      <c r="J11" s="12"/>
    </row>
    <row r="12" spans="1:10" ht="5.25" customHeight="1" x14ac:dyDescent="0.25">
      <c r="F12" s="47"/>
      <c r="G12" s="47"/>
    </row>
    <row r="13" spans="1:10" x14ac:dyDescent="0.25">
      <c r="B13" s="1" t="s">
        <v>6</v>
      </c>
      <c r="C13" s="27"/>
      <c r="E13" s="45"/>
      <c r="F13" s="45"/>
      <c r="G13" s="45"/>
      <c r="I13" s="12"/>
      <c r="J13" s="13"/>
    </row>
    <row r="14" spans="1:10" ht="5.25" customHeight="1" x14ac:dyDescent="0.25">
      <c r="F14" s="47"/>
      <c r="G14" s="47"/>
    </row>
    <row r="15" spans="1:10" x14ac:dyDescent="0.25">
      <c r="B15" s="1" t="s">
        <v>7</v>
      </c>
      <c r="C15" s="3"/>
      <c r="E15" s="45"/>
      <c r="F15" s="45"/>
      <c r="G15" s="45"/>
      <c r="J15" s="13"/>
    </row>
    <row r="16" spans="1:10" ht="5.25" customHeight="1" x14ac:dyDescent="0.25">
      <c r="F16" s="46"/>
      <c r="G16" s="46"/>
    </row>
    <row r="17" spans="1:10" x14ac:dyDescent="0.25">
      <c r="B17" s="1" t="s">
        <v>8</v>
      </c>
      <c r="C17" s="3"/>
      <c r="E17" s="45"/>
      <c r="F17" s="45"/>
      <c r="G17" s="45"/>
      <c r="I17" s="12"/>
      <c r="J17" s="12"/>
    </row>
    <row r="18" spans="1:10" ht="5.25" customHeight="1" x14ac:dyDescent="0.25">
      <c r="J18">
        <v>9</v>
      </c>
    </row>
    <row r="19" spans="1:10" x14ac:dyDescent="0.25">
      <c r="B19" s="1" t="s">
        <v>9</v>
      </c>
      <c r="C19" s="40"/>
      <c r="E19" s="45"/>
      <c r="F19" s="45"/>
      <c r="G19" s="45"/>
      <c r="I19" s="23"/>
    </row>
    <row r="20" spans="1:10" ht="5.25" customHeight="1" x14ac:dyDescent="0.25">
      <c r="C20" s="23"/>
      <c r="F20" t="s">
        <v>880</v>
      </c>
    </row>
    <row r="21" spans="1:10" x14ac:dyDescent="0.25">
      <c r="B21" s="1" t="s">
        <v>11</v>
      </c>
      <c r="C21" s="5"/>
      <c r="E21" s="44"/>
      <c r="F21" s="44"/>
      <c r="G21" s="44"/>
      <c r="I21" s="11"/>
      <c r="J21" s="14"/>
    </row>
    <row r="22" spans="1:10" ht="5.25" customHeight="1" x14ac:dyDescent="0.25"/>
    <row r="23" spans="1:10" x14ac:dyDescent="0.25">
      <c r="B23" s="1" t="s">
        <v>10</v>
      </c>
      <c r="C23" s="3"/>
      <c r="E23" s="45"/>
      <c r="F23" s="45"/>
      <c r="G23" s="45"/>
      <c r="J23" s="11"/>
    </row>
    <row r="24" spans="1:10" ht="5.25" customHeight="1" x14ac:dyDescent="0.25"/>
    <row r="25" spans="1:10" x14ac:dyDescent="0.25">
      <c r="B25" s="1" t="s">
        <v>12</v>
      </c>
      <c r="C25" s="5"/>
      <c r="J25" s="12"/>
    </row>
    <row r="26" spans="1:10" ht="5.25" customHeight="1" x14ac:dyDescent="0.25"/>
    <row r="27" spans="1:10" x14ac:dyDescent="0.25">
      <c r="J27" s="11"/>
    </row>
    <row r="28" spans="1:10" ht="109.5" customHeight="1" x14ac:dyDescent="0.25">
      <c r="A28" s="48" t="s">
        <v>46</v>
      </c>
      <c r="B28" s="48"/>
      <c r="C28" s="48"/>
      <c r="D28" s="48"/>
      <c r="E28" s="48"/>
      <c r="F28" s="48"/>
      <c r="G28" s="48"/>
    </row>
    <row r="30" spans="1:10" ht="112.5" customHeight="1" x14ac:dyDescent="0.25">
      <c r="F30" s="15" t="str">
        <f>"https://consultaweb.ant.gob.ec/PortalWEB/paginas/clientes/clp_grid_citaciones.jsp?ps_tipo_identificacion=CED&amp;ps_identificacion="&amp;C7&amp;"&amp;ps_placa="</f>
        <v>https://consultaweb.ant.gob.ec/PortalWEB/paginas/clientes/clp_grid_citaciones.jsp?ps_tipo_identificacion=CED&amp;ps_identificacion=&amp;ps_placa=</v>
      </c>
    </row>
    <row r="31" spans="1:10" x14ac:dyDescent="0.25">
      <c r="C31" s="43">
        <f>+C9</f>
        <v>0</v>
      </c>
      <c r="D31" s="43"/>
      <c r="E31" s="43"/>
      <c r="F31" s="43"/>
      <c r="G31" t="s">
        <v>1383</v>
      </c>
    </row>
    <row r="33" spans="1:7" x14ac:dyDescent="0.25">
      <c r="A33" s="8"/>
      <c r="B33" s="8"/>
      <c r="C33" s="8"/>
      <c r="D33" s="8"/>
      <c r="E33" s="8"/>
      <c r="F33" s="8"/>
      <c r="G33" s="8"/>
    </row>
    <row r="35" spans="1:7" ht="77.25" customHeight="1" x14ac:dyDescent="0.25">
      <c r="B35" s="7"/>
    </row>
  </sheetData>
  <mergeCells count="14">
    <mergeCell ref="A1:G1"/>
    <mergeCell ref="A2:G2"/>
    <mergeCell ref="A3:G3"/>
    <mergeCell ref="C31:F31"/>
    <mergeCell ref="E21:G21"/>
    <mergeCell ref="E23:G23"/>
    <mergeCell ref="E19:G19"/>
    <mergeCell ref="F16:G16"/>
    <mergeCell ref="F14:G14"/>
    <mergeCell ref="F12:G12"/>
    <mergeCell ref="E13:G13"/>
    <mergeCell ref="E15:G15"/>
    <mergeCell ref="E17:G17"/>
    <mergeCell ref="A28:G28"/>
  </mergeCells>
  <pageMargins left="0.9055118110236221" right="0.31496062992125984" top="0" bottom="0" header="0" footer="0"/>
  <pageSetup paperSize="11" scale="6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68" r:id="rId4" name="BtnNuevo">
          <controlPr defaultSize="0" autoLine="0" autoPict="0" r:id="rId5">
            <anchor moveWithCells="1">
              <from>
                <xdr:col>8</xdr:col>
                <xdr:colOff>314325</xdr:colOff>
                <xdr:row>2</xdr:row>
                <xdr:rowOff>161925</xdr:rowOff>
              </from>
              <to>
                <xdr:col>9</xdr:col>
                <xdr:colOff>504825</xdr:colOff>
                <xdr:row>4</xdr:row>
                <xdr:rowOff>85725</xdr:rowOff>
              </to>
            </anchor>
          </controlPr>
        </control>
      </mc:Choice>
      <mc:Fallback>
        <control shapeId="1068" r:id="rId4" name="BtnNuevo"/>
      </mc:Fallback>
    </mc:AlternateContent>
    <mc:AlternateContent xmlns:mc="http://schemas.openxmlformats.org/markup-compatibility/2006">
      <mc:Choice Requires="x14">
        <control shapeId="1069" r:id="rId6" name="BtnGuardar">
          <controlPr defaultSize="0" disabled="1" autoLine="0" r:id="rId7">
            <anchor moveWithCells="1">
              <from>
                <xdr:col>9</xdr:col>
                <xdr:colOff>571500</xdr:colOff>
                <xdr:row>2</xdr:row>
                <xdr:rowOff>152400</xdr:rowOff>
              </from>
              <to>
                <xdr:col>11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1069" r:id="rId6" name="BtnGuardar"/>
      </mc:Fallback>
    </mc:AlternateContent>
    <mc:AlternateContent xmlns:mc="http://schemas.openxmlformats.org/markup-compatibility/2006">
      <mc:Choice Requires="x14">
        <control shapeId="1071" r:id="rId8" name="BtnLimpiar">
          <controlPr defaultSize="0" autoLine="0" r:id="rId9">
            <anchor moveWithCells="1">
              <from>
                <xdr:col>8</xdr:col>
                <xdr:colOff>314325</xdr:colOff>
                <xdr:row>4</xdr:row>
                <xdr:rowOff>161925</xdr:rowOff>
              </from>
              <to>
                <xdr:col>9</xdr:col>
                <xdr:colOff>504825</xdr:colOff>
                <xdr:row>6</xdr:row>
                <xdr:rowOff>95250</xdr:rowOff>
              </to>
            </anchor>
          </controlPr>
        </control>
      </mc:Choice>
      <mc:Fallback>
        <control shapeId="1071" r:id="rId8" name="BtnLimpiar"/>
      </mc:Fallback>
    </mc:AlternateContent>
    <mc:AlternateContent xmlns:mc="http://schemas.openxmlformats.org/markup-compatibility/2006">
      <mc:Choice Requires="x14">
        <control shapeId="1072" r:id="rId10" name="BtnHoy">
          <controlPr defaultSize="0" autoLine="0" r:id="rId11">
            <anchor moveWithCells="1">
              <from>
                <xdr:col>9</xdr:col>
                <xdr:colOff>581025</xdr:colOff>
                <xdr:row>4</xdr:row>
                <xdr:rowOff>161925</xdr:rowOff>
              </from>
              <to>
                <xdr:col>11</xdr:col>
                <xdr:colOff>9525</xdr:colOff>
                <xdr:row>6</xdr:row>
                <xdr:rowOff>95250</xdr:rowOff>
              </to>
            </anchor>
          </controlPr>
        </control>
      </mc:Choice>
      <mc:Fallback>
        <control shapeId="1072" r:id="rId10" name="BtnHoy"/>
      </mc:Fallback>
    </mc:AlternateContent>
    <mc:AlternateContent xmlns:mc="http://schemas.openxmlformats.org/markup-compatibility/2006">
      <mc:Choice Requires="x14">
        <control shapeId="1073" r:id="rId12" name="BtnQR">
          <controlPr defaultSize="0" disabled="1" autoLine="0" r:id="rId13">
            <anchor moveWithCells="1">
              <from>
                <xdr:col>8</xdr:col>
                <xdr:colOff>685800</xdr:colOff>
                <xdr:row>6</xdr:row>
                <xdr:rowOff>161925</xdr:rowOff>
              </from>
              <to>
                <xdr:col>10</xdr:col>
                <xdr:colOff>485775</xdr:colOff>
                <xdr:row>9</xdr:row>
                <xdr:rowOff>28575</xdr:rowOff>
              </to>
            </anchor>
          </controlPr>
        </control>
      </mc:Choice>
      <mc:Fallback>
        <control shapeId="1073" r:id="rId12" name="BtnQR"/>
      </mc:Fallback>
    </mc:AlternateContent>
    <mc:AlternateContent xmlns:mc="http://schemas.openxmlformats.org/markup-compatibility/2006">
      <mc:Choice Requires="x14">
        <control shapeId="1074" r:id="rId14" name="Group Box 50">
          <controlPr defaultSize="0" autoFill="0" autoPict="0">
            <anchor moveWithCells="1">
              <from>
                <xdr:col>8</xdr:col>
                <xdr:colOff>142875</xdr:colOff>
                <xdr:row>1</xdr:row>
                <xdr:rowOff>171450</xdr:rowOff>
              </from>
              <to>
                <xdr:col>11</xdr:col>
                <xdr:colOff>238125</xdr:colOff>
                <xdr:row>10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Lists!$A$2:$A$5</xm:f>
          </x14:formula1>
          <xm:sqref>J19</xm:sqref>
        </x14:dataValidation>
        <x14:dataValidation type="list" allowBlank="1" showInputMessage="1" showErrorMessage="1" xr:uid="{00000000-0002-0000-0000-000001000000}">
          <x14:formula1>
            <xm:f>Lists!$B$2:$B$11</xm:f>
          </x14:formula1>
          <xm:sqref>C17</xm:sqref>
        </x14:dataValidation>
        <x14:dataValidation type="list" allowBlank="1" showInputMessage="1" showErrorMessage="1" xr:uid="{00000000-0002-0000-0000-000002000000}">
          <x14:formula1>
            <xm:f>Lists!$D$2:$D$6</xm:f>
          </x14:formula1>
          <xm:sqref>F12:G12 F14:G14 E19:G19 E17:G17</xm:sqref>
        </x14:dataValidation>
        <x14:dataValidation type="list" allowBlank="1" showInputMessage="1" showErrorMessage="1" xr:uid="{00000000-0002-0000-0000-000003000000}">
          <x14:formula1>
            <xm:f>Lists!$C$2:$C$19</xm:f>
          </x14:formula1>
          <xm:sqref>J25</xm:sqref>
        </x14:dataValidation>
        <x14:dataValidation type="list" allowBlank="1" showInputMessage="1" showErrorMessage="1" xr:uid="{00000000-0002-0000-0000-000004000000}">
          <x14:formula1>
            <xm:f>Lists!$A$2:$A$7</xm:f>
          </x14:formula1>
          <xm:sqref>C15</xm:sqref>
        </x14:dataValidation>
        <x14:dataValidation type="list" allowBlank="1" showInputMessage="1" showErrorMessage="1" xr:uid="{00000000-0002-0000-0000-000005000000}">
          <x14:formula1>
            <xm:f>Lists!$D$2:$D$8</xm:f>
          </x14:formula1>
          <xm:sqref>E15:G15 E13:G13</xm:sqref>
        </x14:dataValidation>
        <x14:dataValidation type="list" allowBlank="1" showInputMessage="1" showErrorMessage="1" xr:uid="{00000000-0002-0000-0000-000006000000}">
          <x14:formula1>
            <xm:f>Lists!$C$2:$C$23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N460"/>
  <sheetViews>
    <sheetView zoomScale="85" zoomScaleNormal="85" workbookViewId="0">
      <selection activeCell="L3" sqref="L3"/>
    </sheetView>
  </sheetViews>
  <sheetFormatPr baseColWidth="10" defaultRowHeight="15" x14ac:dyDescent="0.25"/>
  <cols>
    <col min="1" max="1" width="7.7109375" customWidth="1"/>
    <col min="3" max="3" width="12" bestFit="1" customWidth="1"/>
    <col min="4" max="4" width="27.42578125" bestFit="1" customWidth="1"/>
    <col min="5" max="5" width="20.28515625" bestFit="1" customWidth="1"/>
    <col min="6" max="6" width="21" customWidth="1"/>
    <col min="7" max="7" width="38.140625" bestFit="1" customWidth="1"/>
    <col min="8" max="8" width="14" customWidth="1"/>
    <col min="9" max="9" width="22.42578125" customWidth="1"/>
    <col min="10" max="10" width="24.42578125" customWidth="1"/>
    <col min="11" max="11" width="16.42578125" customWidth="1"/>
    <col min="12" max="12" width="22.140625" bestFit="1" customWidth="1"/>
    <col min="13" max="13" width="42.42578125" bestFit="1" customWidth="1"/>
  </cols>
  <sheetData>
    <row r="2" spans="2:14" x14ac:dyDescent="0.25">
      <c r="B2" s="1" t="s">
        <v>37</v>
      </c>
      <c r="C2" s="9" t="s">
        <v>3</v>
      </c>
      <c r="D2" s="9" t="s">
        <v>4</v>
      </c>
      <c r="E2" s="9" t="s">
        <v>5</v>
      </c>
      <c r="F2" s="9" t="s">
        <v>6</v>
      </c>
      <c r="G2" s="9" t="s">
        <v>7</v>
      </c>
      <c r="H2" s="9" t="s">
        <v>8</v>
      </c>
      <c r="I2" s="9" t="s">
        <v>9</v>
      </c>
      <c r="J2" s="9" t="s">
        <v>11</v>
      </c>
      <c r="K2" s="9" t="s">
        <v>10</v>
      </c>
      <c r="L2" s="9" t="s">
        <v>12</v>
      </c>
      <c r="M2" s="9" t="s">
        <v>38</v>
      </c>
      <c r="N2" s="9" t="s">
        <v>1078</v>
      </c>
    </row>
    <row r="3" spans="2:14" x14ac:dyDescent="0.25">
      <c r="B3" s="1">
        <v>451</v>
      </c>
      <c r="C3" s="9">
        <v>803085042</v>
      </c>
      <c r="D3" s="9" t="s">
        <v>1424</v>
      </c>
      <c r="E3" s="9" t="s">
        <v>1425</v>
      </c>
      <c r="F3" s="9" t="s">
        <v>1426</v>
      </c>
      <c r="G3" s="9" t="s">
        <v>14</v>
      </c>
      <c r="H3" s="9" t="s">
        <v>19</v>
      </c>
      <c r="I3" s="9">
        <v>61600325</v>
      </c>
      <c r="J3" s="10">
        <v>44867</v>
      </c>
      <c r="K3" s="9" t="s">
        <v>29</v>
      </c>
      <c r="L3" s="10">
        <v>45548</v>
      </c>
      <c r="M3" s="9" t="s">
        <v>45</v>
      </c>
      <c r="N3" s="9"/>
    </row>
    <row r="4" spans="2:14" x14ac:dyDescent="0.25">
      <c r="B4" s="1">
        <v>450</v>
      </c>
      <c r="C4" s="9">
        <v>1758462988</v>
      </c>
      <c r="D4" s="9" t="s">
        <v>1421</v>
      </c>
      <c r="E4" s="9" t="s">
        <v>1422</v>
      </c>
      <c r="F4" s="9" t="s">
        <v>1423</v>
      </c>
      <c r="G4" s="9" t="s">
        <v>181</v>
      </c>
      <c r="H4" s="9" t="s">
        <v>18</v>
      </c>
      <c r="I4" s="9">
        <v>42359340</v>
      </c>
      <c r="J4" s="10">
        <v>44057</v>
      </c>
      <c r="K4" s="9" t="s">
        <v>446</v>
      </c>
      <c r="L4" s="10">
        <v>45546</v>
      </c>
      <c r="M4" s="9" t="s">
        <v>45</v>
      </c>
      <c r="N4" s="9"/>
    </row>
    <row r="5" spans="2:14" x14ac:dyDescent="0.25">
      <c r="B5" s="1">
        <v>1</v>
      </c>
      <c r="C5" s="9" t="s">
        <v>47</v>
      </c>
      <c r="D5" s="9" t="s">
        <v>58</v>
      </c>
      <c r="E5" s="9" t="s">
        <v>59</v>
      </c>
      <c r="F5" s="9" t="s">
        <v>60</v>
      </c>
      <c r="G5" s="9" t="s">
        <v>14</v>
      </c>
      <c r="H5" s="9" t="s">
        <v>19</v>
      </c>
      <c r="I5" s="9">
        <v>60498588</v>
      </c>
      <c r="J5" s="10">
        <v>44776</v>
      </c>
      <c r="K5" s="9" t="s">
        <v>29</v>
      </c>
      <c r="L5" s="10">
        <v>45324</v>
      </c>
      <c r="M5" s="9" t="s">
        <v>45</v>
      </c>
    </row>
    <row r="6" spans="2:14" x14ac:dyDescent="0.25">
      <c r="B6" s="1">
        <v>2</v>
      </c>
      <c r="C6" s="9" t="s">
        <v>54</v>
      </c>
      <c r="D6" s="9" t="s">
        <v>55</v>
      </c>
      <c r="E6" s="9" t="s">
        <v>62</v>
      </c>
      <c r="F6" s="9" t="s">
        <v>56</v>
      </c>
      <c r="G6" s="9" t="s">
        <v>14</v>
      </c>
      <c r="H6" s="9" t="s">
        <v>19</v>
      </c>
      <c r="I6" s="9">
        <v>43148654</v>
      </c>
      <c r="J6" s="10">
        <v>44126</v>
      </c>
      <c r="K6" s="9" t="s">
        <v>57</v>
      </c>
      <c r="L6" s="10">
        <v>45293</v>
      </c>
      <c r="M6" s="9" t="s">
        <v>45</v>
      </c>
    </row>
    <row r="7" spans="2:14" x14ac:dyDescent="0.25">
      <c r="B7" s="1">
        <v>3</v>
      </c>
      <c r="C7" s="9" t="s">
        <v>63</v>
      </c>
      <c r="D7" s="9" t="s">
        <v>64</v>
      </c>
      <c r="E7" s="9" t="s">
        <v>65</v>
      </c>
      <c r="F7" s="9" t="s">
        <v>66</v>
      </c>
      <c r="G7" s="9" t="s">
        <v>14</v>
      </c>
      <c r="H7" s="9" t="s">
        <v>19</v>
      </c>
      <c r="I7" s="9">
        <v>50075555</v>
      </c>
      <c r="J7" s="10">
        <v>44336</v>
      </c>
      <c r="K7" s="9" t="s">
        <v>67</v>
      </c>
      <c r="L7" s="10">
        <v>45294</v>
      </c>
      <c r="M7" s="9" t="s">
        <v>45</v>
      </c>
    </row>
    <row r="8" spans="2:14" x14ac:dyDescent="0.25">
      <c r="B8" s="1">
        <v>4</v>
      </c>
      <c r="C8" s="9" t="s">
        <v>68</v>
      </c>
      <c r="D8" s="9" t="s">
        <v>69</v>
      </c>
      <c r="E8" s="9" t="s">
        <v>70</v>
      </c>
      <c r="F8" s="9" t="s">
        <v>71</v>
      </c>
      <c r="G8" s="9" t="s">
        <v>14</v>
      </c>
      <c r="H8" s="9" t="s">
        <v>18</v>
      </c>
      <c r="I8" s="9">
        <v>63752752</v>
      </c>
      <c r="J8" s="10">
        <v>44825</v>
      </c>
      <c r="K8" s="9" t="s">
        <v>29</v>
      </c>
      <c r="L8" s="10">
        <v>45295</v>
      </c>
      <c r="M8" s="9" t="s">
        <v>45</v>
      </c>
    </row>
    <row r="9" spans="2:14" x14ac:dyDescent="0.25">
      <c r="B9" s="1">
        <v>5</v>
      </c>
      <c r="C9" s="9" t="s">
        <v>72</v>
      </c>
      <c r="D9" s="9" t="s">
        <v>73</v>
      </c>
      <c r="E9" s="9"/>
      <c r="F9" s="9"/>
      <c r="G9" s="9" t="s">
        <v>14</v>
      </c>
      <c r="H9" s="9" t="s">
        <v>19</v>
      </c>
      <c r="I9" s="9">
        <v>63552546</v>
      </c>
      <c r="J9" s="10">
        <v>44826</v>
      </c>
      <c r="K9" s="9" t="s">
        <v>29</v>
      </c>
      <c r="L9" s="10">
        <v>45295</v>
      </c>
      <c r="M9" s="9" t="s">
        <v>45</v>
      </c>
    </row>
    <row r="10" spans="2:14" x14ac:dyDescent="0.25">
      <c r="B10" s="1">
        <v>6</v>
      </c>
      <c r="C10" s="9" t="s">
        <v>75</v>
      </c>
      <c r="D10" s="9" t="s">
        <v>74</v>
      </c>
      <c r="E10" s="9"/>
      <c r="F10" s="9"/>
      <c r="G10" s="9" t="s">
        <v>14</v>
      </c>
      <c r="H10" s="9" t="s">
        <v>19</v>
      </c>
      <c r="I10" s="9">
        <v>65970040</v>
      </c>
      <c r="J10" s="10">
        <v>44937</v>
      </c>
      <c r="K10" s="9" t="s">
        <v>29</v>
      </c>
      <c r="L10" s="10">
        <v>45295</v>
      </c>
      <c r="M10" s="9" t="s">
        <v>45</v>
      </c>
    </row>
    <row r="11" spans="2:14" x14ac:dyDescent="0.25">
      <c r="B11" s="1">
        <v>7</v>
      </c>
      <c r="C11" s="9" t="s">
        <v>76</v>
      </c>
      <c r="D11" s="9" t="s">
        <v>77</v>
      </c>
      <c r="E11" s="9"/>
      <c r="F11" s="9"/>
      <c r="G11" s="9" t="s">
        <v>14</v>
      </c>
      <c r="H11" s="9" t="s">
        <v>18</v>
      </c>
      <c r="I11" s="9">
        <v>66691060</v>
      </c>
      <c r="J11" s="10">
        <v>44971</v>
      </c>
      <c r="K11" s="9" t="s">
        <v>29</v>
      </c>
      <c r="L11" s="10">
        <v>45296</v>
      </c>
      <c r="M11" s="9" t="s">
        <v>45</v>
      </c>
    </row>
    <row r="12" spans="2:14" x14ac:dyDescent="0.25">
      <c r="B12" s="1">
        <v>8</v>
      </c>
      <c r="C12" s="9" t="s">
        <v>86</v>
      </c>
      <c r="D12" s="9" t="s">
        <v>87</v>
      </c>
      <c r="E12" s="9"/>
      <c r="F12" s="9"/>
      <c r="G12" s="9" t="s">
        <v>14</v>
      </c>
      <c r="H12" s="9" t="s">
        <v>19</v>
      </c>
      <c r="I12" s="9">
        <v>60496187</v>
      </c>
      <c r="J12" s="10">
        <v>44804</v>
      </c>
      <c r="K12" s="9" t="s">
        <v>29</v>
      </c>
      <c r="L12" s="10">
        <v>45296</v>
      </c>
      <c r="M12" s="9" t="s">
        <v>45</v>
      </c>
    </row>
    <row r="13" spans="2:14" x14ac:dyDescent="0.25">
      <c r="B13" s="1">
        <v>9</v>
      </c>
      <c r="C13" s="9" t="s">
        <v>88</v>
      </c>
      <c r="D13" s="9" t="s">
        <v>89</v>
      </c>
      <c r="E13" s="9"/>
      <c r="F13" s="9"/>
      <c r="G13" s="9" t="s">
        <v>14</v>
      </c>
      <c r="H13" s="9" t="s">
        <v>19</v>
      </c>
      <c r="I13" s="9">
        <v>63327631</v>
      </c>
      <c r="J13" s="10">
        <v>44882</v>
      </c>
      <c r="K13" s="9" t="s">
        <v>29</v>
      </c>
      <c r="L13" s="10">
        <v>45296</v>
      </c>
      <c r="M13" s="9" t="s">
        <v>45</v>
      </c>
    </row>
    <row r="14" spans="2:14" x14ac:dyDescent="0.25">
      <c r="B14" s="1">
        <v>10</v>
      </c>
      <c r="C14" s="9" t="s">
        <v>90</v>
      </c>
      <c r="D14" s="9" t="s">
        <v>91</v>
      </c>
      <c r="E14" s="9"/>
      <c r="F14" s="9"/>
      <c r="G14" s="9" t="s">
        <v>14</v>
      </c>
      <c r="H14" s="9" t="s">
        <v>19</v>
      </c>
      <c r="I14" s="9">
        <v>67855273</v>
      </c>
      <c r="J14" s="10">
        <v>45016</v>
      </c>
      <c r="K14" s="9" t="s">
        <v>29</v>
      </c>
      <c r="L14" s="10">
        <v>45296</v>
      </c>
      <c r="M14" s="9" t="s">
        <v>45</v>
      </c>
    </row>
    <row r="15" spans="2:14" x14ac:dyDescent="0.25">
      <c r="B15" s="1">
        <v>11</v>
      </c>
      <c r="C15" s="9" t="s">
        <v>92</v>
      </c>
      <c r="D15" s="9" t="s">
        <v>93</v>
      </c>
      <c r="E15" s="9"/>
      <c r="F15" s="9"/>
      <c r="G15" s="9" t="s">
        <v>14</v>
      </c>
      <c r="H15" s="9" t="s">
        <v>19</v>
      </c>
      <c r="I15" s="9">
        <v>16255334</v>
      </c>
      <c r="J15" s="10">
        <v>42923</v>
      </c>
      <c r="K15" s="9" t="s">
        <v>52</v>
      </c>
      <c r="L15" s="10">
        <v>45299</v>
      </c>
      <c r="M15" s="9" t="s">
        <v>94</v>
      </c>
    </row>
    <row r="16" spans="2:14" x14ac:dyDescent="0.25">
      <c r="B16" s="1">
        <v>12</v>
      </c>
      <c r="C16" s="9" t="s">
        <v>95</v>
      </c>
      <c r="D16" s="9" t="s">
        <v>96</v>
      </c>
      <c r="E16" s="9"/>
      <c r="F16" s="9"/>
      <c r="G16" s="9" t="s">
        <v>14</v>
      </c>
      <c r="H16" s="9" t="s">
        <v>19</v>
      </c>
      <c r="I16" s="9">
        <v>66741394</v>
      </c>
      <c r="J16" s="10">
        <v>44971</v>
      </c>
      <c r="K16" s="9" t="s">
        <v>29</v>
      </c>
      <c r="L16" s="10">
        <v>45299</v>
      </c>
      <c r="M16" s="9" t="s">
        <v>45</v>
      </c>
    </row>
    <row r="17" spans="2:13" x14ac:dyDescent="0.25">
      <c r="B17" s="1">
        <v>13</v>
      </c>
      <c r="C17" s="9" t="s">
        <v>97</v>
      </c>
      <c r="D17" s="9" t="s">
        <v>98</v>
      </c>
      <c r="E17" s="9"/>
      <c r="F17" s="9"/>
      <c r="G17" s="9" t="s">
        <v>14</v>
      </c>
      <c r="H17" s="9" t="s">
        <v>20</v>
      </c>
      <c r="I17" s="9">
        <v>65322637</v>
      </c>
      <c r="J17" s="10">
        <v>44890</v>
      </c>
      <c r="K17" s="9" t="s">
        <v>29</v>
      </c>
      <c r="L17" s="10">
        <v>45299</v>
      </c>
      <c r="M17" s="9" t="s">
        <v>40</v>
      </c>
    </row>
    <row r="18" spans="2:13" x14ac:dyDescent="0.25">
      <c r="B18" s="1">
        <v>14</v>
      </c>
      <c r="C18" s="9" t="s">
        <v>99</v>
      </c>
      <c r="D18" s="9" t="s">
        <v>100</v>
      </c>
      <c r="E18" s="9"/>
      <c r="F18" s="9"/>
      <c r="G18" s="9" t="s">
        <v>14</v>
      </c>
      <c r="H18" s="9" t="s">
        <v>19</v>
      </c>
      <c r="I18" s="9">
        <v>69294960</v>
      </c>
      <c r="J18" s="10">
        <v>45035</v>
      </c>
      <c r="K18" s="9" t="s">
        <v>29</v>
      </c>
      <c r="L18" s="10">
        <v>45299</v>
      </c>
      <c r="M18" s="9" t="s">
        <v>45</v>
      </c>
    </row>
    <row r="19" spans="2:13" x14ac:dyDescent="0.25">
      <c r="B19" s="1">
        <v>15</v>
      </c>
      <c r="C19" s="9" t="s">
        <v>101</v>
      </c>
      <c r="D19" s="9" t="s">
        <v>102</v>
      </c>
      <c r="E19" s="9"/>
      <c r="F19" s="9"/>
      <c r="G19" s="9" t="s">
        <v>14</v>
      </c>
      <c r="H19" s="9" t="s">
        <v>19</v>
      </c>
      <c r="I19" s="9">
        <v>60326968</v>
      </c>
      <c r="J19" s="10">
        <v>44770</v>
      </c>
      <c r="K19" s="9" t="s">
        <v>29</v>
      </c>
      <c r="L19" s="10">
        <v>45303</v>
      </c>
      <c r="M19" s="9"/>
    </row>
    <row r="20" spans="2:13" x14ac:dyDescent="0.25">
      <c r="B20" s="1">
        <v>16</v>
      </c>
      <c r="C20" s="9" t="s">
        <v>103</v>
      </c>
      <c r="D20" s="9" t="s">
        <v>104</v>
      </c>
      <c r="E20" s="9"/>
      <c r="F20" s="9"/>
      <c r="G20" s="9" t="s">
        <v>14</v>
      </c>
      <c r="H20" s="9" t="s">
        <v>19</v>
      </c>
      <c r="I20" s="9">
        <v>29154475</v>
      </c>
      <c r="J20" s="10">
        <v>43453</v>
      </c>
      <c r="K20" s="9" t="s">
        <v>52</v>
      </c>
      <c r="L20" s="10">
        <v>45303</v>
      </c>
      <c r="M20" s="9"/>
    </row>
    <row r="21" spans="2:13" x14ac:dyDescent="0.25">
      <c r="B21" s="1">
        <v>17</v>
      </c>
      <c r="C21" s="9" t="s">
        <v>105</v>
      </c>
      <c r="D21" s="9" t="s">
        <v>106</v>
      </c>
      <c r="E21" s="9"/>
      <c r="F21" s="9"/>
      <c r="G21" s="9" t="s">
        <v>14</v>
      </c>
      <c r="H21" s="9" t="s">
        <v>18</v>
      </c>
      <c r="I21" s="9">
        <v>63376178</v>
      </c>
      <c r="J21" s="10">
        <v>44880</v>
      </c>
      <c r="K21" s="9" t="s">
        <v>29</v>
      </c>
      <c r="L21" s="10">
        <v>45303</v>
      </c>
      <c r="M21" s="9"/>
    </row>
    <row r="22" spans="2:13" x14ac:dyDescent="0.25">
      <c r="B22" s="1">
        <v>18</v>
      </c>
      <c r="C22" s="9" t="s">
        <v>105</v>
      </c>
      <c r="D22" s="9" t="s">
        <v>106</v>
      </c>
      <c r="E22" s="9"/>
      <c r="F22" s="9"/>
      <c r="G22" s="9" t="s">
        <v>14</v>
      </c>
      <c r="H22" s="9" t="s">
        <v>19</v>
      </c>
      <c r="I22" s="9">
        <v>69168992</v>
      </c>
      <c r="J22" s="10">
        <v>45090</v>
      </c>
      <c r="K22" s="9" t="s">
        <v>34</v>
      </c>
      <c r="L22" s="10">
        <v>45303</v>
      </c>
      <c r="M22" s="9"/>
    </row>
    <row r="23" spans="2:13" x14ac:dyDescent="0.25">
      <c r="B23" s="1">
        <v>19</v>
      </c>
      <c r="C23" s="9" t="s">
        <v>109</v>
      </c>
      <c r="D23" s="9" t="s">
        <v>110</v>
      </c>
      <c r="E23" s="9"/>
      <c r="F23" s="9"/>
      <c r="G23" s="9" t="s">
        <v>14</v>
      </c>
      <c r="H23" s="9" t="s">
        <v>18</v>
      </c>
      <c r="I23" s="9">
        <v>66609088</v>
      </c>
      <c r="J23" s="10">
        <v>44994</v>
      </c>
      <c r="K23" s="9" t="s">
        <v>29</v>
      </c>
      <c r="L23" s="10">
        <v>45309</v>
      </c>
      <c r="M23" s="9"/>
    </row>
    <row r="24" spans="2:13" x14ac:dyDescent="0.25">
      <c r="B24" s="1">
        <v>20</v>
      </c>
      <c r="C24" s="9" t="s">
        <v>111</v>
      </c>
      <c r="D24" s="9" t="s">
        <v>112</v>
      </c>
      <c r="E24" s="9"/>
      <c r="F24" s="9"/>
      <c r="G24" s="9" t="s">
        <v>14</v>
      </c>
      <c r="H24" s="9" t="s">
        <v>18</v>
      </c>
      <c r="I24" s="9">
        <v>66708558</v>
      </c>
      <c r="J24" s="10">
        <v>44970</v>
      </c>
      <c r="K24" s="9" t="s">
        <v>29</v>
      </c>
      <c r="L24" s="10">
        <v>45309</v>
      </c>
      <c r="M24" s="9"/>
    </row>
    <row r="25" spans="2:13" x14ac:dyDescent="0.25">
      <c r="B25" s="1">
        <v>21</v>
      </c>
      <c r="C25" s="9" t="s">
        <v>113</v>
      </c>
      <c r="D25" s="9" t="s">
        <v>114</v>
      </c>
      <c r="E25" s="9"/>
      <c r="F25" s="9"/>
      <c r="G25" s="9" t="s">
        <v>14</v>
      </c>
      <c r="H25" s="9" t="s">
        <v>18</v>
      </c>
      <c r="I25" s="9">
        <v>66557117</v>
      </c>
      <c r="J25" s="10">
        <v>44950</v>
      </c>
      <c r="K25" s="9" t="s">
        <v>29</v>
      </c>
      <c r="L25" s="10">
        <v>45309</v>
      </c>
      <c r="M25" s="9"/>
    </row>
    <row r="26" spans="2:13" x14ac:dyDescent="0.25">
      <c r="B26" s="1">
        <v>22</v>
      </c>
      <c r="C26" s="9" t="s">
        <v>115</v>
      </c>
      <c r="D26" s="9" t="s">
        <v>116</v>
      </c>
      <c r="E26" s="9"/>
      <c r="F26" s="9"/>
      <c r="G26" s="9" t="s">
        <v>14</v>
      </c>
      <c r="H26" s="9" t="s">
        <v>18</v>
      </c>
      <c r="I26" s="9">
        <v>63138763</v>
      </c>
      <c r="J26" s="10">
        <v>44874</v>
      </c>
      <c r="K26" s="9" t="s">
        <v>29</v>
      </c>
      <c r="L26" s="10">
        <v>45309</v>
      </c>
      <c r="M26" s="9"/>
    </row>
    <row r="27" spans="2:13" x14ac:dyDescent="0.25">
      <c r="B27" s="1">
        <v>23</v>
      </c>
      <c r="C27" s="9" t="s">
        <v>117</v>
      </c>
      <c r="D27" s="9" t="s">
        <v>118</v>
      </c>
      <c r="E27" s="9"/>
      <c r="F27" s="9"/>
      <c r="G27" s="9" t="s">
        <v>14</v>
      </c>
      <c r="H27" s="9" t="s">
        <v>18</v>
      </c>
      <c r="I27" s="9">
        <v>68022086</v>
      </c>
      <c r="J27" s="10">
        <v>45070</v>
      </c>
      <c r="K27" s="9" t="s">
        <v>34</v>
      </c>
      <c r="L27" s="10">
        <v>45309</v>
      </c>
      <c r="M27" s="9"/>
    </row>
    <row r="28" spans="2:13" x14ac:dyDescent="0.25">
      <c r="B28" s="1">
        <v>24</v>
      </c>
      <c r="C28" s="9" t="s">
        <v>119</v>
      </c>
      <c r="D28" s="9" t="s">
        <v>120</v>
      </c>
      <c r="E28" s="9"/>
      <c r="F28" s="9"/>
      <c r="G28" s="9" t="s">
        <v>14</v>
      </c>
      <c r="H28" s="9" t="s">
        <v>19</v>
      </c>
      <c r="I28" s="9">
        <v>66810747</v>
      </c>
      <c r="J28" s="10">
        <v>44974</v>
      </c>
      <c r="K28" s="9" t="s">
        <v>30</v>
      </c>
      <c r="L28" s="10">
        <v>45309</v>
      </c>
      <c r="M28" s="9"/>
    </row>
    <row r="29" spans="2:13" x14ac:dyDescent="0.25">
      <c r="B29" s="1">
        <v>25</v>
      </c>
      <c r="C29" s="9" t="s">
        <v>107</v>
      </c>
      <c r="D29" s="9" t="s">
        <v>108</v>
      </c>
      <c r="E29" s="9"/>
      <c r="F29" s="9"/>
      <c r="G29" s="9" t="s">
        <v>14</v>
      </c>
      <c r="H29" s="9" t="s">
        <v>19</v>
      </c>
      <c r="I29" s="9">
        <v>61032387</v>
      </c>
      <c r="J29" s="10">
        <v>44797</v>
      </c>
      <c r="K29" s="9" t="s">
        <v>29</v>
      </c>
      <c r="L29" s="10">
        <v>45309</v>
      </c>
      <c r="M29" s="9"/>
    </row>
    <row r="30" spans="2:13" x14ac:dyDescent="0.25">
      <c r="B30" s="1">
        <v>26</v>
      </c>
      <c r="C30" s="9" t="s">
        <v>121</v>
      </c>
      <c r="D30" s="9" t="s">
        <v>122</v>
      </c>
      <c r="E30" s="9"/>
      <c r="F30" s="9"/>
      <c r="G30" s="9" t="s">
        <v>14</v>
      </c>
      <c r="H30" s="9" t="s">
        <v>19</v>
      </c>
      <c r="I30" s="9">
        <v>61600061</v>
      </c>
      <c r="J30" s="10">
        <v>44770</v>
      </c>
      <c r="K30" s="9" t="s">
        <v>29</v>
      </c>
      <c r="L30" s="10">
        <v>45309</v>
      </c>
      <c r="M30" s="9"/>
    </row>
    <row r="31" spans="2:13" x14ac:dyDescent="0.25">
      <c r="B31" s="1">
        <v>27</v>
      </c>
      <c r="C31" s="9" t="s">
        <v>123</v>
      </c>
      <c r="D31" s="9" t="s">
        <v>124</v>
      </c>
      <c r="E31" s="9"/>
      <c r="F31" s="9"/>
      <c r="G31" s="9" t="s">
        <v>14</v>
      </c>
      <c r="H31" s="9" t="s">
        <v>19</v>
      </c>
      <c r="I31" s="9">
        <v>60076928</v>
      </c>
      <c r="J31" s="10">
        <v>44768</v>
      </c>
      <c r="K31" s="9" t="s">
        <v>29</v>
      </c>
      <c r="L31" s="10">
        <v>45309</v>
      </c>
      <c r="M31" s="9"/>
    </row>
    <row r="32" spans="2:13" x14ac:dyDescent="0.25">
      <c r="B32" s="1">
        <v>28</v>
      </c>
      <c r="C32" s="9" t="s">
        <v>125</v>
      </c>
      <c r="D32" s="9" t="s">
        <v>265</v>
      </c>
      <c r="E32" s="9"/>
      <c r="F32" s="9"/>
      <c r="G32" s="9" t="s">
        <v>14</v>
      </c>
      <c r="H32" s="9" t="s">
        <v>20</v>
      </c>
      <c r="I32" s="9">
        <v>65936429</v>
      </c>
      <c r="J32" s="10">
        <v>44932</v>
      </c>
      <c r="K32" s="9" t="s">
        <v>29</v>
      </c>
      <c r="L32" s="10">
        <v>45309</v>
      </c>
      <c r="M32" s="9" t="s">
        <v>266</v>
      </c>
    </row>
    <row r="33" spans="2:13" x14ac:dyDescent="0.25">
      <c r="B33" s="1">
        <v>29</v>
      </c>
      <c r="C33" s="9" t="s">
        <v>126</v>
      </c>
      <c r="D33" s="9" t="s">
        <v>127</v>
      </c>
      <c r="E33" s="9"/>
      <c r="F33" s="9"/>
      <c r="G33" s="9" t="s">
        <v>14</v>
      </c>
      <c r="H33" s="9" t="s">
        <v>22</v>
      </c>
      <c r="I33" s="9">
        <v>68876965</v>
      </c>
      <c r="J33" s="10">
        <v>45022</v>
      </c>
      <c r="K33" s="9" t="s">
        <v>29</v>
      </c>
      <c r="L33" s="10">
        <v>45022</v>
      </c>
      <c r="M33" s="9"/>
    </row>
    <row r="34" spans="2:13" x14ac:dyDescent="0.25">
      <c r="B34" s="1">
        <v>30</v>
      </c>
      <c r="C34" s="9" t="s">
        <v>128</v>
      </c>
      <c r="D34" s="9" t="s">
        <v>129</v>
      </c>
      <c r="E34" s="9"/>
      <c r="F34" s="9"/>
      <c r="G34" s="9" t="s">
        <v>14</v>
      </c>
      <c r="H34" s="9" t="s">
        <v>22</v>
      </c>
      <c r="I34" s="9">
        <v>65936192</v>
      </c>
      <c r="J34" s="10">
        <v>44956</v>
      </c>
      <c r="K34" s="9" t="s">
        <v>29</v>
      </c>
      <c r="L34" s="10">
        <v>45309</v>
      </c>
      <c r="M34" s="9"/>
    </row>
    <row r="35" spans="2:13" x14ac:dyDescent="0.25">
      <c r="B35" s="1">
        <v>31</v>
      </c>
      <c r="C35" s="9" t="s">
        <v>130</v>
      </c>
      <c r="D35" s="9" t="s">
        <v>131</v>
      </c>
      <c r="E35" s="9"/>
      <c r="F35" s="9"/>
      <c r="G35" s="9" t="s">
        <v>14</v>
      </c>
      <c r="H35" s="9" t="s">
        <v>18</v>
      </c>
      <c r="I35" s="9">
        <v>58435177</v>
      </c>
      <c r="J35" s="10">
        <v>44768</v>
      </c>
      <c r="K35" s="9" t="s">
        <v>29</v>
      </c>
      <c r="L35" s="10">
        <v>45313</v>
      </c>
      <c r="M35" s="9"/>
    </row>
    <row r="36" spans="2:13" x14ac:dyDescent="0.25">
      <c r="B36" s="1">
        <v>32</v>
      </c>
      <c r="C36" s="9" t="s">
        <v>132</v>
      </c>
      <c r="D36" s="9" t="s">
        <v>133</v>
      </c>
      <c r="E36" s="9"/>
      <c r="F36" s="9"/>
      <c r="G36" s="9" t="s">
        <v>14</v>
      </c>
      <c r="H36" s="9" t="s">
        <v>18</v>
      </c>
      <c r="I36" s="9">
        <v>59901130</v>
      </c>
      <c r="J36" s="10">
        <v>44998</v>
      </c>
      <c r="K36" s="9" t="s">
        <v>29</v>
      </c>
      <c r="L36" s="10">
        <v>45313</v>
      </c>
      <c r="M36" s="9"/>
    </row>
    <row r="37" spans="2:13" x14ac:dyDescent="0.25">
      <c r="B37" s="1">
        <v>33</v>
      </c>
      <c r="C37" s="9"/>
      <c r="D37" s="9"/>
      <c r="E37" s="9"/>
      <c r="F37" s="9"/>
      <c r="G37" s="9"/>
      <c r="H37" s="9"/>
      <c r="I37" s="9"/>
      <c r="J37" s="10"/>
      <c r="K37" s="9"/>
      <c r="L37" s="10"/>
      <c r="M37" s="9"/>
    </row>
    <row r="38" spans="2:13" x14ac:dyDescent="0.25">
      <c r="B38" s="1">
        <v>34</v>
      </c>
      <c r="C38" s="9"/>
      <c r="D38" s="9"/>
      <c r="E38" s="9"/>
      <c r="F38" s="9"/>
      <c r="G38" s="9"/>
      <c r="H38" s="9"/>
      <c r="I38" s="9"/>
      <c r="J38" s="10"/>
      <c r="K38" s="9"/>
      <c r="L38" s="10"/>
      <c r="M38" s="9"/>
    </row>
    <row r="39" spans="2:13" x14ac:dyDescent="0.25">
      <c r="B39" s="1">
        <v>35</v>
      </c>
      <c r="C39" s="9"/>
      <c r="D39" s="9"/>
      <c r="E39" s="9"/>
      <c r="F39" s="9"/>
      <c r="G39" s="9"/>
      <c r="H39" s="9"/>
      <c r="I39" s="9"/>
      <c r="J39" s="10"/>
      <c r="K39" s="9"/>
      <c r="L39" s="10"/>
      <c r="M39" s="9"/>
    </row>
    <row r="40" spans="2:13" x14ac:dyDescent="0.25">
      <c r="B40" s="1">
        <v>36</v>
      </c>
      <c r="C40" s="9"/>
      <c r="D40" s="9"/>
      <c r="E40" s="9"/>
      <c r="F40" s="9"/>
      <c r="G40" s="9"/>
      <c r="H40" s="9"/>
      <c r="I40" s="9"/>
      <c r="J40" s="10"/>
      <c r="K40" s="9"/>
      <c r="L40" s="10"/>
      <c r="M40" s="9"/>
    </row>
    <row r="41" spans="2:13" x14ac:dyDescent="0.25">
      <c r="B41" s="1">
        <v>37</v>
      </c>
      <c r="C41" s="9"/>
      <c r="D41" s="9"/>
      <c r="E41" s="9"/>
      <c r="F41" s="9"/>
      <c r="G41" s="9"/>
      <c r="H41" s="9"/>
      <c r="I41" s="9"/>
      <c r="J41" s="10"/>
      <c r="K41" s="9"/>
      <c r="L41" s="10"/>
      <c r="M41" s="9"/>
    </row>
    <row r="42" spans="2:13" x14ac:dyDescent="0.25">
      <c r="B42" s="1">
        <v>38</v>
      </c>
      <c r="C42" s="9"/>
      <c r="D42" s="9"/>
      <c r="E42" s="9"/>
      <c r="F42" s="9"/>
      <c r="G42" s="9"/>
      <c r="H42" s="9"/>
      <c r="I42" s="9"/>
      <c r="J42" s="10"/>
      <c r="K42" s="9"/>
      <c r="L42" s="10"/>
      <c r="M42" s="9"/>
    </row>
    <row r="43" spans="2:13" x14ac:dyDescent="0.25">
      <c r="B43" s="1">
        <v>39</v>
      </c>
      <c r="C43" s="9"/>
      <c r="D43" s="9"/>
      <c r="E43" s="9"/>
      <c r="F43" s="9"/>
      <c r="G43" s="9"/>
      <c r="H43" s="9"/>
      <c r="I43" s="9"/>
      <c r="J43" s="10"/>
      <c r="K43" s="9"/>
      <c r="L43" s="10"/>
      <c r="M43" s="9"/>
    </row>
    <row r="44" spans="2:13" x14ac:dyDescent="0.25">
      <c r="B44" s="1">
        <v>40</v>
      </c>
      <c r="C44" s="9"/>
      <c r="D44" s="9"/>
      <c r="E44" s="9"/>
      <c r="F44" s="9"/>
      <c r="G44" s="9"/>
      <c r="H44" s="9"/>
      <c r="I44" s="9"/>
      <c r="J44" s="10"/>
      <c r="K44" s="9"/>
      <c r="L44" s="10"/>
      <c r="M44" s="9"/>
    </row>
    <row r="45" spans="2:13" x14ac:dyDescent="0.25">
      <c r="B45" s="1">
        <v>41</v>
      </c>
      <c r="C45" s="9"/>
      <c r="D45" s="9"/>
      <c r="E45" s="9"/>
      <c r="F45" s="9"/>
      <c r="G45" s="9"/>
      <c r="H45" s="9"/>
      <c r="I45" s="9"/>
      <c r="J45" s="10"/>
      <c r="K45" s="9"/>
      <c r="L45" s="10"/>
      <c r="M45" s="9"/>
    </row>
    <row r="46" spans="2:13" x14ac:dyDescent="0.25">
      <c r="B46" s="1">
        <v>42</v>
      </c>
      <c r="C46" s="9"/>
      <c r="D46" s="9"/>
      <c r="E46" s="9"/>
      <c r="F46" s="9"/>
      <c r="G46" s="9"/>
      <c r="H46" s="9"/>
      <c r="I46" s="9"/>
      <c r="J46" s="10"/>
      <c r="K46" s="9"/>
      <c r="L46" s="10"/>
      <c r="M46" s="9"/>
    </row>
    <row r="47" spans="2:13" x14ac:dyDescent="0.25">
      <c r="B47" s="1">
        <v>43</v>
      </c>
      <c r="C47" s="9"/>
      <c r="D47" s="9"/>
      <c r="E47" s="9"/>
      <c r="F47" s="9"/>
      <c r="G47" s="9"/>
      <c r="H47" s="9"/>
      <c r="I47" s="9"/>
      <c r="J47" s="10"/>
      <c r="K47" s="9"/>
      <c r="L47" s="10"/>
      <c r="M47" s="9"/>
    </row>
    <row r="48" spans="2:13" x14ac:dyDescent="0.25">
      <c r="B48" s="1">
        <v>44</v>
      </c>
      <c r="C48" s="9"/>
      <c r="D48" s="9"/>
      <c r="E48" s="9"/>
      <c r="F48" s="9"/>
      <c r="G48" s="9"/>
      <c r="H48" s="9"/>
      <c r="I48" s="9"/>
      <c r="J48" s="10"/>
      <c r="K48" s="9"/>
      <c r="L48" s="10"/>
      <c r="M48" s="9"/>
    </row>
    <row r="49" spans="2:13" x14ac:dyDescent="0.25">
      <c r="B49" s="1">
        <v>45</v>
      </c>
      <c r="C49" s="9"/>
      <c r="D49" s="9"/>
      <c r="E49" s="9"/>
      <c r="F49" s="9"/>
      <c r="G49" s="9"/>
      <c r="H49" s="9"/>
      <c r="I49" s="9"/>
      <c r="J49" s="10"/>
      <c r="K49" s="9"/>
      <c r="L49" s="10"/>
      <c r="M49" s="9"/>
    </row>
    <row r="50" spans="2:13" x14ac:dyDescent="0.25">
      <c r="B50" s="1">
        <v>46</v>
      </c>
      <c r="C50" s="9"/>
      <c r="D50" s="9"/>
      <c r="E50" s="9"/>
      <c r="F50" s="9"/>
      <c r="G50" s="9"/>
      <c r="H50" s="9"/>
      <c r="I50" s="9"/>
      <c r="J50" s="10"/>
      <c r="K50" s="9"/>
      <c r="L50" s="10"/>
      <c r="M50" s="9"/>
    </row>
    <row r="51" spans="2:13" x14ac:dyDescent="0.25">
      <c r="B51" s="1">
        <v>47</v>
      </c>
      <c r="C51" s="9"/>
      <c r="D51" s="9"/>
      <c r="E51" s="9"/>
      <c r="F51" s="9"/>
      <c r="G51" s="9"/>
      <c r="H51" s="9"/>
      <c r="I51" s="9"/>
      <c r="J51" s="10"/>
      <c r="K51" s="9"/>
      <c r="L51" s="10"/>
      <c r="M51" s="9"/>
    </row>
    <row r="52" spans="2:13" x14ac:dyDescent="0.25">
      <c r="B52" s="1">
        <v>48</v>
      </c>
      <c r="C52" s="9"/>
      <c r="D52" s="9"/>
      <c r="E52" s="9"/>
      <c r="F52" s="9"/>
      <c r="G52" s="9"/>
      <c r="H52" s="9"/>
      <c r="I52" s="9"/>
      <c r="J52" s="10"/>
      <c r="K52" s="9"/>
      <c r="L52" s="10"/>
      <c r="M52" s="9"/>
    </row>
    <row r="53" spans="2:13" x14ac:dyDescent="0.25">
      <c r="B53" s="1">
        <v>49</v>
      </c>
      <c r="C53" s="9"/>
      <c r="D53" s="9"/>
      <c r="E53" s="9"/>
      <c r="F53" s="9"/>
      <c r="G53" s="9"/>
      <c r="H53" s="9"/>
      <c r="I53" s="9"/>
      <c r="J53" s="10"/>
      <c r="K53" s="9"/>
      <c r="L53" s="10"/>
      <c r="M53" s="9"/>
    </row>
    <row r="54" spans="2:13" x14ac:dyDescent="0.25">
      <c r="B54" s="1">
        <v>50</v>
      </c>
      <c r="C54" s="9"/>
      <c r="D54" s="9"/>
      <c r="E54" s="9"/>
      <c r="F54" s="9"/>
      <c r="G54" s="9"/>
      <c r="H54" s="9"/>
      <c r="I54" s="9"/>
      <c r="J54" s="10"/>
      <c r="K54" s="9"/>
      <c r="L54" s="10"/>
      <c r="M54" s="9"/>
    </row>
    <row r="55" spans="2:13" x14ac:dyDescent="0.25">
      <c r="B55" s="1">
        <v>51</v>
      </c>
      <c r="C55" s="9"/>
      <c r="D55" s="9"/>
      <c r="E55" s="9"/>
      <c r="F55" s="9"/>
      <c r="G55" s="9"/>
      <c r="H55" s="9"/>
      <c r="I55" s="9"/>
      <c r="J55" s="10"/>
      <c r="K55" s="9"/>
      <c r="L55" s="10"/>
      <c r="M55" s="9"/>
    </row>
    <row r="56" spans="2:13" x14ac:dyDescent="0.25">
      <c r="B56" s="1">
        <v>52</v>
      </c>
      <c r="C56" s="9"/>
      <c r="D56" s="9"/>
      <c r="E56" s="9"/>
      <c r="F56" s="9"/>
      <c r="G56" s="9"/>
      <c r="H56" s="9"/>
      <c r="I56" s="9"/>
      <c r="J56" s="10"/>
      <c r="K56" s="9"/>
      <c r="L56" s="10"/>
      <c r="M56" s="9"/>
    </row>
    <row r="57" spans="2:13" x14ac:dyDescent="0.25">
      <c r="B57" s="1">
        <v>53</v>
      </c>
      <c r="C57" s="9"/>
      <c r="D57" s="9"/>
      <c r="E57" s="9"/>
      <c r="F57" s="9"/>
      <c r="G57" s="9"/>
      <c r="H57" s="9"/>
      <c r="I57" s="9"/>
      <c r="J57" s="10"/>
      <c r="K57" s="9"/>
      <c r="L57" s="10"/>
      <c r="M57" s="9"/>
    </row>
    <row r="58" spans="2:13" x14ac:dyDescent="0.25">
      <c r="B58" s="1">
        <v>54</v>
      </c>
      <c r="C58" s="9"/>
      <c r="D58" s="9"/>
      <c r="E58" s="9"/>
      <c r="F58" s="9"/>
      <c r="G58" s="9"/>
      <c r="H58" s="9"/>
      <c r="I58" s="9"/>
      <c r="J58" s="10"/>
      <c r="K58" s="9"/>
      <c r="L58" s="10"/>
      <c r="M58" s="9"/>
    </row>
    <row r="59" spans="2:13" x14ac:dyDescent="0.25">
      <c r="B59" s="1">
        <v>55</v>
      </c>
      <c r="C59" s="9"/>
      <c r="D59" s="9"/>
      <c r="E59" s="9"/>
      <c r="F59" s="9"/>
      <c r="G59" s="9"/>
      <c r="H59" s="9"/>
      <c r="I59" s="9"/>
      <c r="J59" s="10"/>
      <c r="K59" s="9"/>
      <c r="L59" s="10"/>
      <c r="M59" s="9"/>
    </row>
    <row r="60" spans="2:13" x14ac:dyDescent="0.25">
      <c r="B60" s="1">
        <v>56</v>
      </c>
      <c r="C60" s="9"/>
      <c r="D60" s="9"/>
      <c r="E60" s="9"/>
      <c r="F60" s="9"/>
      <c r="G60" s="9"/>
      <c r="H60" s="9"/>
      <c r="I60" s="9"/>
      <c r="J60" s="10"/>
      <c r="K60" s="9"/>
      <c r="L60" s="10"/>
      <c r="M60" s="9"/>
    </row>
    <row r="61" spans="2:13" x14ac:dyDescent="0.25">
      <c r="B61" s="1">
        <v>57</v>
      </c>
      <c r="C61" s="9"/>
      <c r="D61" s="9"/>
      <c r="E61" s="9"/>
      <c r="F61" s="9"/>
      <c r="G61" s="9"/>
      <c r="H61" s="9"/>
      <c r="I61" s="9"/>
      <c r="J61" s="10"/>
      <c r="K61" s="9"/>
      <c r="L61" s="10"/>
      <c r="M61" s="9"/>
    </row>
    <row r="62" spans="2:13" x14ac:dyDescent="0.25">
      <c r="B62" s="1">
        <v>58</v>
      </c>
      <c r="C62" s="9"/>
      <c r="D62" s="9"/>
      <c r="E62" s="9"/>
      <c r="F62" s="9"/>
      <c r="G62" s="9"/>
      <c r="H62" s="9"/>
      <c r="I62" s="9"/>
      <c r="J62" s="10"/>
      <c r="K62" s="9"/>
      <c r="L62" s="10"/>
      <c r="M62" s="9"/>
    </row>
    <row r="63" spans="2:13" x14ac:dyDescent="0.25">
      <c r="B63" s="1">
        <v>59</v>
      </c>
      <c r="C63" s="9"/>
      <c r="D63" s="9"/>
      <c r="E63" s="9"/>
      <c r="F63" s="9"/>
      <c r="G63" s="9"/>
      <c r="H63" s="9"/>
      <c r="I63" s="9"/>
      <c r="J63" s="10"/>
      <c r="K63" s="9"/>
      <c r="L63" s="10"/>
      <c r="M63" s="9"/>
    </row>
    <row r="64" spans="2:13" x14ac:dyDescent="0.25">
      <c r="B64" s="1">
        <v>60</v>
      </c>
      <c r="C64" s="9"/>
      <c r="D64" s="9"/>
      <c r="E64" s="9"/>
      <c r="F64" s="9"/>
      <c r="G64" s="9"/>
      <c r="H64" s="9"/>
      <c r="I64" s="9"/>
      <c r="J64" s="10"/>
      <c r="K64" s="9"/>
      <c r="L64" s="10"/>
      <c r="M64" s="9"/>
    </row>
    <row r="65" spans="2:13" x14ac:dyDescent="0.25">
      <c r="B65" s="1">
        <v>61</v>
      </c>
      <c r="C65" s="9"/>
      <c r="D65" s="9"/>
      <c r="E65" s="9"/>
      <c r="F65" s="9"/>
      <c r="G65" s="9"/>
      <c r="H65" s="9"/>
      <c r="I65" s="9"/>
      <c r="J65" s="10"/>
      <c r="K65" s="9"/>
      <c r="L65" s="10"/>
      <c r="M65" s="9"/>
    </row>
    <row r="66" spans="2:13" x14ac:dyDescent="0.25">
      <c r="B66" s="1">
        <v>62</v>
      </c>
      <c r="C66" s="9"/>
      <c r="D66" s="9"/>
      <c r="E66" s="9"/>
      <c r="F66" s="9"/>
      <c r="G66" s="9"/>
      <c r="H66" s="9"/>
      <c r="I66" s="9"/>
      <c r="J66" s="10"/>
      <c r="K66" s="9"/>
      <c r="L66" s="10"/>
      <c r="M66" s="9"/>
    </row>
    <row r="67" spans="2:13" x14ac:dyDescent="0.25">
      <c r="B67" s="1">
        <v>63</v>
      </c>
      <c r="C67" s="9"/>
      <c r="D67" s="9"/>
      <c r="E67" s="9"/>
      <c r="F67" s="9"/>
      <c r="G67" s="9"/>
      <c r="H67" s="9"/>
      <c r="I67" s="9"/>
      <c r="J67" s="10"/>
      <c r="K67" s="9"/>
      <c r="L67" s="10"/>
      <c r="M67" s="9"/>
    </row>
    <row r="68" spans="2:13" x14ac:dyDescent="0.25">
      <c r="B68" s="1">
        <v>64</v>
      </c>
      <c r="C68" s="9"/>
      <c r="D68" s="9"/>
      <c r="E68" s="9"/>
      <c r="F68" s="9"/>
      <c r="G68" s="9"/>
      <c r="H68" s="9"/>
      <c r="I68" s="9"/>
      <c r="J68" s="10"/>
      <c r="K68" s="9"/>
      <c r="L68" s="10"/>
      <c r="M68" s="9"/>
    </row>
    <row r="69" spans="2:13" x14ac:dyDescent="0.25">
      <c r="B69" s="1">
        <v>65</v>
      </c>
      <c r="C69" s="9"/>
      <c r="D69" s="9"/>
      <c r="E69" s="9"/>
      <c r="F69" s="9"/>
      <c r="G69" s="9"/>
      <c r="H69" s="9"/>
      <c r="I69" s="9"/>
      <c r="J69" s="10"/>
      <c r="K69" s="9"/>
      <c r="L69" s="10"/>
      <c r="M69" s="9"/>
    </row>
    <row r="70" spans="2:13" x14ac:dyDescent="0.25">
      <c r="B70" s="1">
        <v>66</v>
      </c>
      <c r="C70" s="9"/>
      <c r="D70" s="9"/>
      <c r="E70" s="9"/>
      <c r="F70" s="9"/>
      <c r="G70" s="9"/>
      <c r="H70" s="9"/>
      <c r="I70" s="9"/>
      <c r="J70" s="10"/>
      <c r="K70" s="9"/>
      <c r="L70" s="10"/>
      <c r="M70" s="9"/>
    </row>
    <row r="71" spans="2:13" x14ac:dyDescent="0.25">
      <c r="B71" s="1">
        <v>67</v>
      </c>
      <c r="C71" s="9"/>
      <c r="D71" s="9"/>
      <c r="E71" s="9"/>
      <c r="F71" s="9"/>
      <c r="G71" s="9"/>
      <c r="H71" s="9"/>
      <c r="I71" s="9"/>
      <c r="J71" s="10"/>
      <c r="K71" s="9"/>
      <c r="L71" s="10"/>
      <c r="M71" s="9"/>
    </row>
    <row r="72" spans="2:13" x14ac:dyDescent="0.25">
      <c r="B72" s="1">
        <v>68</v>
      </c>
      <c r="C72" s="9"/>
      <c r="D72" s="9"/>
      <c r="E72" s="9"/>
      <c r="F72" s="9"/>
      <c r="G72" s="9"/>
      <c r="H72" s="9"/>
      <c r="I72" s="9"/>
      <c r="J72" s="10"/>
      <c r="K72" s="9"/>
      <c r="L72" s="10"/>
      <c r="M72" s="9"/>
    </row>
    <row r="73" spans="2:13" x14ac:dyDescent="0.25">
      <c r="B73" s="1">
        <v>69</v>
      </c>
      <c r="C73" s="9"/>
      <c r="D73" s="9"/>
      <c r="E73" s="9"/>
      <c r="F73" s="9"/>
      <c r="G73" s="9"/>
      <c r="H73" s="9"/>
      <c r="I73" s="9"/>
      <c r="J73" s="10"/>
      <c r="K73" s="9"/>
      <c r="L73" s="10"/>
      <c r="M73" s="9"/>
    </row>
    <row r="74" spans="2:13" x14ac:dyDescent="0.25">
      <c r="B74" s="1">
        <v>70</v>
      </c>
      <c r="C74" s="9"/>
      <c r="D74" s="9"/>
      <c r="E74" s="9"/>
      <c r="F74" s="9"/>
      <c r="G74" s="9"/>
      <c r="H74" s="9"/>
      <c r="I74" s="9"/>
      <c r="J74" s="10"/>
      <c r="K74" s="9"/>
      <c r="L74" s="10"/>
      <c r="M74" s="9"/>
    </row>
    <row r="75" spans="2:13" x14ac:dyDescent="0.25">
      <c r="B75" s="1">
        <v>71</v>
      </c>
      <c r="C75" s="9"/>
      <c r="D75" s="9"/>
      <c r="E75" s="9"/>
      <c r="F75" s="9"/>
      <c r="G75" s="9"/>
      <c r="H75" s="9"/>
      <c r="I75" s="9"/>
      <c r="J75" s="10"/>
      <c r="K75" s="9"/>
      <c r="L75" s="10"/>
      <c r="M75" s="9"/>
    </row>
    <row r="76" spans="2:13" x14ac:dyDescent="0.25">
      <c r="B76" s="1">
        <v>72</v>
      </c>
      <c r="C76" s="9"/>
      <c r="D76" s="9"/>
      <c r="E76" s="9"/>
      <c r="F76" s="9"/>
      <c r="G76" s="9"/>
      <c r="H76" s="9"/>
      <c r="I76" s="9"/>
      <c r="J76" s="10"/>
      <c r="K76" s="9"/>
      <c r="L76" s="10"/>
      <c r="M76" s="9"/>
    </row>
    <row r="77" spans="2:13" x14ac:dyDescent="0.25">
      <c r="B77" s="1">
        <v>73</v>
      </c>
      <c r="C77" s="9"/>
      <c r="D77" s="9"/>
      <c r="E77" s="9"/>
      <c r="F77" s="9"/>
      <c r="G77" s="9"/>
      <c r="H77" s="9"/>
      <c r="I77" s="9"/>
      <c r="J77" s="10"/>
      <c r="K77" s="9"/>
      <c r="L77" s="10"/>
      <c r="M77" s="9"/>
    </row>
    <row r="78" spans="2:13" x14ac:dyDescent="0.25">
      <c r="B78" s="1">
        <v>74</v>
      </c>
      <c r="C78" s="9"/>
      <c r="D78" s="9"/>
      <c r="E78" s="9"/>
      <c r="F78" s="9"/>
      <c r="G78" s="9"/>
      <c r="H78" s="9"/>
      <c r="I78" s="9"/>
      <c r="J78" s="10"/>
      <c r="K78" s="9"/>
      <c r="L78" s="10"/>
      <c r="M78" s="9"/>
    </row>
    <row r="79" spans="2:13" x14ac:dyDescent="0.25">
      <c r="B79" s="1">
        <v>75</v>
      </c>
      <c r="C79" s="9"/>
      <c r="D79" s="9"/>
      <c r="E79" s="9"/>
      <c r="F79" s="9"/>
      <c r="G79" s="9"/>
      <c r="H79" s="9"/>
      <c r="I79" s="9"/>
      <c r="J79" s="10"/>
      <c r="K79" s="9"/>
      <c r="L79" s="10"/>
      <c r="M79" s="9"/>
    </row>
    <row r="80" spans="2:13" x14ac:dyDescent="0.25">
      <c r="B80" s="1">
        <v>76</v>
      </c>
      <c r="C80" s="9"/>
      <c r="D80" s="9"/>
      <c r="E80" s="9"/>
      <c r="F80" s="9"/>
      <c r="G80" s="9"/>
      <c r="H80" s="9"/>
      <c r="I80" s="9"/>
      <c r="J80" s="10"/>
      <c r="K80" s="9"/>
      <c r="L80" s="10"/>
      <c r="M80" s="9"/>
    </row>
    <row r="81" spans="2:13" x14ac:dyDescent="0.25">
      <c r="B81" s="1">
        <v>77</v>
      </c>
      <c r="C81" s="9"/>
      <c r="D81" s="9"/>
      <c r="E81" s="9"/>
      <c r="F81" s="9"/>
      <c r="G81" s="9"/>
      <c r="H81" s="9"/>
      <c r="I81" s="9"/>
      <c r="J81" s="10"/>
      <c r="K81" s="9"/>
      <c r="L81" s="10"/>
      <c r="M81" s="9"/>
    </row>
    <row r="82" spans="2:13" x14ac:dyDescent="0.25">
      <c r="B82" s="1">
        <v>78</v>
      </c>
      <c r="C82" s="9"/>
      <c r="D82" s="9"/>
      <c r="E82" s="9"/>
      <c r="F82" s="9"/>
      <c r="G82" s="9"/>
      <c r="H82" s="9"/>
      <c r="I82" s="9"/>
      <c r="J82" s="10"/>
      <c r="K82" s="9"/>
      <c r="L82" s="10"/>
      <c r="M82" s="9"/>
    </row>
    <row r="83" spans="2:13" x14ac:dyDescent="0.25">
      <c r="B83" s="1">
        <v>79</v>
      </c>
      <c r="C83" s="9"/>
      <c r="D83" s="9"/>
      <c r="E83" s="9"/>
      <c r="F83" s="9"/>
      <c r="G83" s="9"/>
      <c r="H83" s="9"/>
      <c r="I83" s="9"/>
      <c r="J83" s="10"/>
      <c r="K83" s="9"/>
      <c r="L83" s="10"/>
      <c r="M83" s="9"/>
    </row>
    <row r="84" spans="2:13" x14ac:dyDescent="0.25">
      <c r="B84" s="1">
        <v>80</v>
      </c>
      <c r="C84" s="9"/>
      <c r="D84" s="9"/>
      <c r="E84" s="9"/>
      <c r="F84" s="9"/>
      <c r="G84" s="9"/>
      <c r="H84" s="9"/>
      <c r="I84" s="9"/>
      <c r="J84" s="10"/>
      <c r="K84" s="9"/>
      <c r="L84" s="10"/>
      <c r="M84" s="9"/>
    </row>
    <row r="85" spans="2:13" x14ac:dyDescent="0.25">
      <c r="B85" s="1">
        <v>81</v>
      </c>
      <c r="C85" s="9"/>
      <c r="D85" s="9"/>
      <c r="E85" s="9"/>
      <c r="F85" s="9"/>
      <c r="G85" s="9"/>
      <c r="H85" s="9"/>
      <c r="I85" s="9"/>
      <c r="J85" s="10"/>
      <c r="K85" s="9"/>
      <c r="L85" s="10"/>
      <c r="M85" s="9"/>
    </row>
    <row r="86" spans="2:13" x14ac:dyDescent="0.25">
      <c r="B86" s="1">
        <v>82</v>
      </c>
      <c r="C86" s="9"/>
      <c r="D86" s="9"/>
      <c r="E86" s="9"/>
      <c r="F86" s="9"/>
      <c r="G86" s="9"/>
      <c r="H86" s="9"/>
      <c r="I86" s="9"/>
      <c r="J86" s="10"/>
      <c r="K86" s="9"/>
      <c r="L86" s="10"/>
      <c r="M86" s="9"/>
    </row>
    <row r="87" spans="2:13" x14ac:dyDescent="0.25">
      <c r="B87" s="1">
        <v>83</v>
      </c>
      <c r="C87" s="9"/>
      <c r="D87" s="9"/>
      <c r="E87" s="9"/>
      <c r="F87" s="9"/>
      <c r="G87" s="9"/>
      <c r="H87" s="9"/>
      <c r="I87" s="9"/>
      <c r="J87" s="10"/>
      <c r="K87" s="9"/>
      <c r="L87" s="10"/>
      <c r="M87" s="9"/>
    </row>
    <row r="88" spans="2:13" x14ac:dyDescent="0.25">
      <c r="B88" s="1">
        <v>84</v>
      </c>
      <c r="C88" s="9"/>
      <c r="D88" s="9"/>
      <c r="E88" s="9"/>
      <c r="F88" s="9"/>
      <c r="G88" s="9"/>
      <c r="H88" s="9"/>
      <c r="I88" s="9"/>
      <c r="J88" s="10"/>
      <c r="K88" s="9"/>
      <c r="L88" s="10"/>
      <c r="M88" s="9"/>
    </row>
    <row r="89" spans="2:13" x14ac:dyDescent="0.25">
      <c r="B89" s="1">
        <v>85</v>
      </c>
      <c r="C89" s="9"/>
      <c r="D89" s="9"/>
      <c r="E89" s="9"/>
      <c r="F89" s="9"/>
      <c r="G89" s="9"/>
      <c r="H89" s="9"/>
      <c r="I89" s="9"/>
      <c r="J89" s="10"/>
      <c r="K89" s="9"/>
      <c r="L89" s="10"/>
      <c r="M89" s="9"/>
    </row>
    <row r="90" spans="2:13" x14ac:dyDescent="0.25">
      <c r="B90" s="1">
        <v>86</v>
      </c>
      <c r="C90" s="9"/>
      <c r="D90" s="9"/>
      <c r="E90" s="9"/>
      <c r="F90" s="9"/>
      <c r="G90" s="9"/>
      <c r="H90" s="9"/>
      <c r="I90" s="9"/>
      <c r="J90" s="10"/>
      <c r="K90" s="9"/>
      <c r="L90" s="10"/>
      <c r="M90" s="9"/>
    </row>
    <row r="91" spans="2:13" x14ac:dyDescent="0.25">
      <c r="B91" s="1">
        <v>87</v>
      </c>
      <c r="C91" s="9"/>
      <c r="D91" s="9"/>
      <c r="E91" s="9"/>
      <c r="F91" s="9"/>
      <c r="G91" s="9"/>
      <c r="H91" s="9"/>
      <c r="I91" s="9"/>
      <c r="J91" s="10"/>
      <c r="K91" s="9"/>
      <c r="L91" s="10"/>
      <c r="M91" s="9"/>
    </row>
    <row r="92" spans="2:13" x14ac:dyDescent="0.25">
      <c r="B92" s="1">
        <v>88</v>
      </c>
      <c r="C92" s="9"/>
      <c r="D92" s="9"/>
      <c r="E92" s="9"/>
      <c r="F92" s="9"/>
      <c r="G92" s="9"/>
      <c r="H92" s="9"/>
      <c r="I92" s="9"/>
      <c r="J92" s="10"/>
      <c r="K92" s="9"/>
      <c r="L92" s="10"/>
      <c r="M92" s="9"/>
    </row>
    <row r="93" spans="2:13" x14ac:dyDescent="0.25">
      <c r="B93" s="1">
        <v>89</v>
      </c>
      <c r="C93" s="9" t="s">
        <v>82</v>
      </c>
      <c r="D93" s="9" t="s">
        <v>83</v>
      </c>
      <c r="E93" s="9" t="s">
        <v>84</v>
      </c>
      <c r="F93" s="9" t="s">
        <v>85</v>
      </c>
      <c r="G93" s="9" t="s">
        <v>14</v>
      </c>
      <c r="H93" s="9" t="s">
        <v>19</v>
      </c>
      <c r="I93" s="9">
        <v>65396163</v>
      </c>
      <c r="J93" s="10">
        <v>44904</v>
      </c>
      <c r="K93" s="9" t="s">
        <v>29</v>
      </c>
      <c r="L93" s="10">
        <v>45324</v>
      </c>
      <c r="M93" s="9"/>
    </row>
    <row r="94" spans="2:13" x14ac:dyDescent="0.25">
      <c r="B94" s="1">
        <v>90</v>
      </c>
      <c r="C94" s="9" t="s">
        <v>78</v>
      </c>
      <c r="D94" s="9" t="s">
        <v>79</v>
      </c>
      <c r="E94" s="9" t="s">
        <v>80</v>
      </c>
      <c r="F94" s="9" t="s">
        <v>81</v>
      </c>
      <c r="G94" s="9" t="s">
        <v>14</v>
      </c>
      <c r="H94" s="9" t="s">
        <v>21</v>
      </c>
      <c r="I94" s="9">
        <v>66620666</v>
      </c>
      <c r="J94" s="10">
        <v>44999</v>
      </c>
      <c r="K94" s="9" t="s">
        <v>29</v>
      </c>
      <c r="L94" s="10">
        <v>45324</v>
      </c>
      <c r="M94" s="9" t="s">
        <v>45</v>
      </c>
    </row>
    <row r="95" spans="2:13" x14ac:dyDescent="0.25">
      <c r="B95" s="1">
        <v>91</v>
      </c>
      <c r="C95" s="9">
        <v>1727100941</v>
      </c>
      <c r="D95" s="9" t="s">
        <v>134</v>
      </c>
      <c r="E95" s="16" t="s">
        <v>135</v>
      </c>
      <c r="F95" s="9">
        <v>998741052</v>
      </c>
      <c r="G95" s="9" t="s">
        <v>14</v>
      </c>
      <c r="H95" s="9" t="s">
        <v>18</v>
      </c>
      <c r="I95" s="9">
        <v>68006028</v>
      </c>
      <c r="J95" s="10">
        <v>45020</v>
      </c>
      <c r="K95" s="9" t="s">
        <v>29</v>
      </c>
      <c r="L95" s="10">
        <v>45324</v>
      </c>
      <c r="M95" s="9" t="s">
        <v>45</v>
      </c>
    </row>
    <row r="96" spans="2:13" x14ac:dyDescent="0.25">
      <c r="B96" s="1">
        <v>92</v>
      </c>
      <c r="C96" s="9">
        <v>1727440560</v>
      </c>
      <c r="D96" s="9" t="s">
        <v>136</v>
      </c>
      <c r="E96" s="9" t="s">
        <v>137</v>
      </c>
      <c r="F96" s="9" t="s">
        <v>138</v>
      </c>
      <c r="G96" s="9" t="s">
        <v>14</v>
      </c>
      <c r="H96" s="9" t="s">
        <v>19</v>
      </c>
      <c r="I96" s="9">
        <v>66186423</v>
      </c>
      <c r="J96" s="10">
        <v>44958</v>
      </c>
      <c r="K96" s="9" t="s">
        <v>29</v>
      </c>
      <c r="L96" s="10">
        <v>45327</v>
      </c>
      <c r="M96" s="9" t="s">
        <v>45</v>
      </c>
    </row>
    <row r="97" spans="2:13" x14ac:dyDescent="0.25">
      <c r="B97" s="1">
        <v>93</v>
      </c>
      <c r="C97" s="9" t="s">
        <v>139</v>
      </c>
      <c r="D97" s="9" t="s">
        <v>140</v>
      </c>
      <c r="E97" s="9"/>
      <c r="F97" s="9"/>
      <c r="G97" s="9" t="s">
        <v>14</v>
      </c>
      <c r="H97" s="9" t="s">
        <v>19</v>
      </c>
      <c r="I97" s="9">
        <v>66445967</v>
      </c>
      <c r="J97" s="10">
        <v>44943</v>
      </c>
      <c r="K97" s="9" t="s">
        <v>33</v>
      </c>
      <c r="L97" s="10">
        <v>45327</v>
      </c>
      <c r="M97" s="9" t="s">
        <v>45</v>
      </c>
    </row>
    <row r="98" spans="2:13" x14ac:dyDescent="0.25">
      <c r="B98" s="1">
        <v>94</v>
      </c>
      <c r="C98" s="9">
        <v>1726371352</v>
      </c>
      <c r="D98" s="9" t="s">
        <v>150</v>
      </c>
      <c r="E98" s="9" t="s">
        <v>151</v>
      </c>
      <c r="F98" s="9" t="s">
        <v>152</v>
      </c>
      <c r="G98" s="9" t="s">
        <v>14</v>
      </c>
      <c r="H98" s="9" t="s">
        <v>19</v>
      </c>
      <c r="I98" s="9">
        <v>63127539</v>
      </c>
      <c r="J98" s="10">
        <v>44956</v>
      </c>
      <c r="K98" s="9" t="s">
        <v>29</v>
      </c>
      <c r="L98" s="10">
        <v>45327</v>
      </c>
      <c r="M98" s="9"/>
    </row>
    <row r="99" spans="2:13" x14ac:dyDescent="0.25">
      <c r="B99" s="1">
        <v>95</v>
      </c>
      <c r="C99" s="9" t="s">
        <v>153</v>
      </c>
      <c r="D99" s="9" t="s">
        <v>154</v>
      </c>
      <c r="E99" s="9" t="s">
        <v>155</v>
      </c>
      <c r="F99" s="9" t="s">
        <v>156</v>
      </c>
      <c r="G99" s="9" t="s">
        <v>14</v>
      </c>
      <c r="H99" s="9" t="s">
        <v>19</v>
      </c>
      <c r="I99" s="9">
        <v>68669952</v>
      </c>
      <c r="J99" s="10">
        <v>45027</v>
      </c>
      <c r="K99" s="9" t="s">
        <v>29</v>
      </c>
      <c r="L99" s="10">
        <v>45328</v>
      </c>
      <c r="M99" s="9"/>
    </row>
    <row r="100" spans="2:13" x14ac:dyDescent="0.25">
      <c r="B100" s="1">
        <v>96</v>
      </c>
      <c r="C100" s="9" t="s">
        <v>157</v>
      </c>
      <c r="D100" s="9" t="s">
        <v>158</v>
      </c>
      <c r="E100" s="9" t="s">
        <v>159</v>
      </c>
      <c r="F100" s="9" t="s">
        <v>160</v>
      </c>
      <c r="G100" s="9" t="s">
        <v>14</v>
      </c>
      <c r="H100" s="9" t="s">
        <v>19</v>
      </c>
      <c r="I100" s="9">
        <v>65053769</v>
      </c>
      <c r="J100" s="10">
        <v>44956</v>
      </c>
      <c r="K100" s="9" t="s">
        <v>29</v>
      </c>
      <c r="L100" s="10">
        <v>45328</v>
      </c>
      <c r="M100" s="9"/>
    </row>
    <row r="101" spans="2:13" x14ac:dyDescent="0.25">
      <c r="B101" s="1">
        <v>97</v>
      </c>
      <c r="C101" s="9" t="s">
        <v>161</v>
      </c>
      <c r="D101" s="9" t="s">
        <v>162</v>
      </c>
      <c r="E101" s="9" t="s">
        <v>163</v>
      </c>
      <c r="F101" s="9" t="s">
        <v>164</v>
      </c>
      <c r="G101" s="9" t="s">
        <v>14</v>
      </c>
      <c r="H101" s="9" t="s">
        <v>19</v>
      </c>
      <c r="I101" s="9">
        <v>62284201</v>
      </c>
      <c r="J101" s="10">
        <v>44838</v>
      </c>
      <c r="K101" s="9" t="s">
        <v>29</v>
      </c>
      <c r="L101" s="10">
        <v>45328</v>
      </c>
      <c r="M101" s="9"/>
    </row>
    <row r="102" spans="2:13" x14ac:dyDescent="0.25">
      <c r="B102" s="1">
        <v>98</v>
      </c>
      <c r="C102" s="9" t="s">
        <v>165</v>
      </c>
      <c r="D102" s="9" t="s">
        <v>166</v>
      </c>
      <c r="E102" s="9" t="s">
        <v>167</v>
      </c>
      <c r="F102" s="9" t="s">
        <v>168</v>
      </c>
      <c r="G102" s="9" t="s">
        <v>14</v>
      </c>
      <c r="H102" s="9" t="s">
        <v>18</v>
      </c>
      <c r="I102" s="9">
        <v>67225752</v>
      </c>
      <c r="J102" s="10">
        <v>44998</v>
      </c>
      <c r="K102" s="9" t="s">
        <v>29</v>
      </c>
      <c r="L102" s="10">
        <v>45329</v>
      </c>
      <c r="M102" s="9" t="s">
        <v>45</v>
      </c>
    </row>
    <row r="103" spans="2:13" x14ac:dyDescent="0.25">
      <c r="B103" s="1">
        <v>99</v>
      </c>
      <c r="C103" s="9" t="s">
        <v>169</v>
      </c>
      <c r="D103" s="9" t="s">
        <v>170</v>
      </c>
      <c r="E103" s="9" t="s">
        <v>171</v>
      </c>
      <c r="F103" s="9" t="s">
        <v>172</v>
      </c>
      <c r="G103" s="9" t="s">
        <v>14</v>
      </c>
      <c r="H103" s="9" t="s">
        <v>19</v>
      </c>
      <c r="I103" s="9">
        <v>60615212</v>
      </c>
      <c r="J103" s="10">
        <v>44781</v>
      </c>
      <c r="K103" s="9" t="s">
        <v>29</v>
      </c>
      <c r="L103" s="10">
        <v>45329</v>
      </c>
      <c r="M103" s="9" t="s">
        <v>45</v>
      </c>
    </row>
    <row r="104" spans="2:13" x14ac:dyDescent="0.25">
      <c r="B104" s="1">
        <v>100</v>
      </c>
      <c r="C104" s="9" t="s">
        <v>173</v>
      </c>
      <c r="D104" s="9" t="s">
        <v>174</v>
      </c>
      <c r="E104" s="9" t="s">
        <v>175</v>
      </c>
      <c r="F104" s="9" t="s">
        <v>176</v>
      </c>
      <c r="G104" s="9" t="s">
        <v>14</v>
      </c>
      <c r="H104" s="9" t="s">
        <v>20</v>
      </c>
      <c r="I104" s="9">
        <v>64755603</v>
      </c>
      <c r="J104" s="10">
        <v>44918</v>
      </c>
      <c r="K104" s="9" t="s">
        <v>29</v>
      </c>
      <c r="L104" s="10">
        <v>45329</v>
      </c>
      <c r="M104" s="9" t="s">
        <v>40</v>
      </c>
    </row>
    <row r="105" spans="2:13" x14ac:dyDescent="0.25">
      <c r="B105" s="1">
        <v>101</v>
      </c>
      <c r="C105" s="9" t="s">
        <v>177</v>
      </c>
      <c r="D105" s="9" t="s">
        <v>178</v>
      </c>
      <c r="E105" s="9" t="s">
        <v>179</v>
      </c>
      <c r="F105" s="9" t="s">
        <v>180</v>
      </c>
      <c r="G105" s="9" t="s">
        <v>14</v>
      </c>
      <c r="H105" s="9" t="s">
        <v>18</v>
      </c>
      <c r="I105" s="9">
        <v>62595161</v>
      </c>
      <c r="J105" s="10">
        <v>44901</v>
      </c>
      <c r="K105" s="9" t="s">
        <v>30</v>
      </c>
      <c r="L105" s="10">
        <v>45329</v>
      </c>
      <c r="M105" s="9"/>
    </row>
    <row r="106" spans="2:13" x14ac:dyDescent="0.25">
      <c r="B106" s="1">
        <v>102</v>
      </c>
      <c r="C106" s="9" t="s">
        <v>182</v>
      </c>
      <c r="D106" s="9" t="s">
        <v>183</v>
      </c>
      <c r="E106" s="9" t="s">
        <v>184</v>
      </c>
      <c r="F106" s="9" t="s">
        <v>185</v>
      </c>
      <c r="G106" s="9" t="s">
        <v>44</v>
      </c>
      <c r="H106" s="9" t="s">
        <v>19</v>
      </c>
      <c r="I106" s="9">
        <v>24783440</v>
      </c>
      <c r="J106" s="10">
        <v>43272</v>
      </c>
      <c r="K106" s="9" t="s">
        <v>35</v>
      </c>
      <c r="L106" s="10">
        <v>45330</v>
      </c>
      <c r="M106" s="9" t="s">
        <v>42</v>
      </c>
    </row>
    <row r="107" spans="2:13" x14ac:dyDescent="0.25">
      <c r="B107" s="1">
        <v>103</v>
      </c>
      <c r="C107" s="9" t="s">
        <v>186</v>
      </c>
      <c r="D107" s="9" t="s">
        <v>187</v>
      </c>
      <c r="E107" s="9" t="s">
        <v>188</v>
      </c>
      <c r="F107" s="9" t="s">
        <v>189</v>
      </c>
      <c r="G107" s="9" t="s">
        <v>14</v>
      </c>
      <c r="H107" s="9" t="s">
        <v>20</v>
      </c>
      <c r="I107" s="9">
        <v>69230978</v>
      </c>
      <c r="J107" s="10">
        <v>45057</v>
      </c>
      <c r="K107" s="9" t="s">
        <v>29</v>
      </c>
      <c r="L107" s="10">
        <v>45330</v>
      </c>
      <c r="M107" s="9"/>
    </row>
    <row r="108" spans="2:13" x14ac:dyDescent="0.25">
      <c r="B108" s="1">
        <v>104</v>
      </c>
      <c r="C108" s="9" t="s">
        <v>191</v>
      </c>
      <c r="D108" s="9" t="s">
        <v>190</v>
      </c>
      <c r="E108" s="9" t="s">
        <v>192</v>
      </c>
      <c r="F108" s="9" t="s">
        <v>193</v>
      </c>
      <c r="G108" s="9" t="s">
        <v>181</v>
      </c>
      <c r="H108" s="9" t="s">
        <v>19</v>
      </c>
      <c r="I108" s="9">
        <v>29287455</v>
      </c>
      <c r="J108" s="10">
        <v>43452</v>
      </c>
      <c r="K108" s="9" t="s">
        <v>52</v>
      </c>
      <c r="L108" s="10">
        <v>45330</v>
      </c>
      <c r="M108" s="9" t="s">
        <v>42</v>
      </c>
    </row>
    <row r="109" spans="2:13" x14ac:dyDescent="0.25">
      <c r="B109" s="1">
        <v>105</v>
      </c>
      <c r="C109" s="9" t="s">
        <v>194</v>
      </c>
      <c r="D109" s="9" t="s">
        <v>195</v>
      </c>
      <c r="E109" s="9" t="s">
        <v>196</v>
      </c>
      <c r="F109" s="9" t="s">
        <v>197</v>
      </c>
      <c r="G109" s="9" t="s">
        <v>14</v>
      </c>
      <c r="H109" s="9" t="s">
        <v>19</v>
      </c>
      <c r="I109" s="9">
        <v>67304286</v>
      </c>
      <c r="J109" s="10">
        <v>44998</v>
      </c>
      <c r="K109" s="9" t="s">
        <v>29</v>
      </c>
      <c r="L109" s="10">
        <v>45330</v>
      </c>
      <c r="M109" s="9" t="s">
        <v>45</v>
      </c>
    </row>
    <row r="110" spans="2:13" x14ac:dyDescent="0.25">
      <c r="B110" s="1">
        <v>106</v>
      </c>
      <c r="C110" s="9" t="s">
        <v>198</v>
      </c>
      <c r="D110" s="9" t="s">
        <v>199</v>
      </c>
      <c r="E110" s="9" t="s">
        <v>200</v>
      </c>
      <c r="F110" s="9" t="s">
        <v>201</v>
      </c>
      <c r="G110" s="9" t="s">
        <v>14</v>
      </c>
      <c r="H110" s="9" t="s">
        <v>19</v>
      </c>
      <c r="I110" s="9">
        <v>68463646</v>
      </c>
      <c r="J110" s="10">
        <v>45036</v>
      </c>
      <c r="K110" s="9" t="s">
        <v>29</v>
      </c>
      <c r="L110" s="10">
        <v>45293</v>
      </c>
      <c r="M110" s="9"/>
    </row>
    <row r="111" spans="2:13" x14ac:dyDescent="0.25">
      <c r="B111" s="1">
        <v>107</v>
      </c>
      <c r="C111" s="9" t="s">
        <v>203</v>
      </c>
      <c r="D111" s="9" t="s">
        <v>202</v>
      </c>
      <c r="E111" s="9" t="s">
        <v>204</v>
      </c>
      <c r="F111" s="9" t="s">
        <v>205</v>
      </c>
      <c r="G111" s="9" t="s">
        <v>14</v>
      </c>
      <c r="H111" s="9" t="s">
        <v>20</v>
      </c>
      <c r="I111" s="9">
        <v>69108981</v>
      </c>
      <c r="J111" s="10">
        <v>45056</v>
      </c>
      <c r="K111" s="9" t="s">
        <v>29</v>
      </c>
      <c r="L111" s="10">
        <v>45331</v>
      </c>
      <c r="M111" s="9" t="s">
        <v>45</v>
      </c>
    </row>
    <row r="112" spans="2:13" x14ac:dyDescent="0.25">
      <c r="B112" s="1">
        <v>108</v>
      </c>
      <c r="C112" s="9" t="s">
        <v>206</v>
      </c>
      <c r="D112" s="9" t="s">
        <v>207</v>
      </c>
      <c r="E112" s="9" t="s">
        <v>208</v>
      </c>
      <c r="F112" s="9" t="s">
        <v>197</v>
      </c>
      <c r="G112" s="9" t="s">
        <v>14</v>
      </c>
      <c r="H112" s="9" t="s">
        <v>19</v>
      </c>
      <c r="I112" s="9">
        <v>64978763</v>
      </c>
      <c r="J112" s="10">
        <v>44942</v>
      </c>
      <c r="K112" s="9" t="s">
        <v>33</v>
      </c>
      <c r="L112" s="10">
        <v>45331</v>
      </c>
      <c r="M112" s="9" t="s">
        <v>45</v>
      </c>
    </row>
    <row r="113" spans="2:13" x14ac:dyDescent="0.25">
      <c r="B113" s="1">
        <v>109</v>
      </c>
      <c r="C113" s="9">
        <v>1750365957</v>
      </c>
      <c r="D113" s="9" t="s">
        <v>209</v>
      </c>
      <c r="E113" s="16" t="s">
        <v>210</v>
      </c>
      <c r="F113" s="9">
        <v>999999999</v>
      </c>
      <c r="G113" s="9" t="s">
        <v>14</v>
      </c>
      <c r="H113" s="9" t="s">
        <v>22</v>
      </c>
      <c r="I113" s="9">
        <v>63679911</v>
      </c>
      <c r="J113" s="10">
        <v>44827</v>
      </c>
      <c r="K113" s="9" t="s">
        <v>29</v>
      </c>
      <c r="L113" s="10">
        <v>45331</v>
      </c>
      <c r="M113" s="9" t="s">
        <v>45</v>
      </c>
    </row>
    <row r="114" spans="2:13" x14ac:dyDescent="0.25">
      <c r="B114" s="1">
        <v>110</v>
      </c>
      <c r="C114" s="9" t="s">
        <v>211</v>
      </c>
      <c r="D114" s="9" t="s">
        <v>212</v>
      </c>
      <c r="E114" s="9"/>
      <c r="F114" s="9"/>
      <c r="G114" s="9" t="s">
        <v>14</v>
      </c>
      <c r="H114" s="9" t="s">
        <v>18</v>
      </c>
      <c r="I114" s="9">
        <v>62238152</v>
      </c>
      <c r="J114" s="10">
        <v>44837</v>
      </c>
      <c r="K114" s="9" t="s">
        <v>29</v>
      </c>
      <c r="L114" s="10">
        <v>45331</v>
      </c>
      <c r="M114" s="9"/>
    </row>
    <row r="115" spans="2:13" x14ac:dyDescent="0.25">
      <c r="B115" s="1">
        <v>111</v>
      </c>
      <c r="C115" s="9" t="s">
        <v>214</v>
      </c>
      <c r="D115" s="9" t="s">
        <v>213</v>
      </c>
      <c r="E115" s="9" t="s">
        <v>215</v>
      </c>
      <c r="F115" s="9" t="s">
        <v>216</v>
      </c>
      <c r="G115" s="9" t="s">
        <v>14</v>
      </c>
      <c r="H115" s="9" t="s">
        <v>19</v>
      </c>
      <c r="I115" s="9">
        <v>60700817</v>
      </c>
      <c r="J115" s="10">
        <v>44784</v>
      </c>
      <c r="K115" s="9" t="s">
        <v>29</v>
      </c>
      <c r="L115" s="10">
        <v>45336</v>
      </c>
      <c r="M115" s="9" t="s">
        <v>45</v>
      </c>
    </row>
    <row r="116" spans="2:13" x14ac:dyDescent="0.25">
      <c r="B116" s="1">
        <v>112</v>
      </c>
      <c r="C116" s="9" t="s">
        <v>217</v>
      </c>
      <c r="D116" s="9" t="s">
        <v>218</v>
      </c>
      <c r="E116" s="9" t="s">
        <v>219</v>
      </c>
      <c r="F116" s="9"/>
      <c r="G116" s="9" t="s">
        <v>14</v>
      </c>
      <c r="H116" s="9" t="s">
        <v>20</v>
      </c>
      <c r="I116" s="9">
        <v>69516631</v>
      </c>
      <c r="J116" s="10">
        <v>45054</v>
      </c>
      <c r="K116" s="9" t="s">
        <v>29</v>
      </c>
      <c r="L116" s="10">
        <v>45331</v>
      </c>
      <c r="M116" s="9" t="s">
        <v>45</v>
      </c>
    </row>
    <row r="117" spans="2:13" x14ac:dyDescent="0.25">
      <c r="B117" s="1">
        <v>113</v>
      </c>
      <c r="C117" s="9" t="s">
        <v>220</v>
      </c>
      <c r="D117" s="9" t="s">
        <v>221</v>
      </c>
      <c r="E117" s="9" t="s">
        <v>222</v>
      </c>
      <c r="F117" s="9" t="s">
        <v>223</v>
      </c>
      <c r="G117" s="9" t="s">
        <v>14</v>
      </c>
      <c r="H117" s="9" t="s">
        <v>22</v>
      </c>
      <c r="I117" s="9">
        <v>66664138</v>
      </c>
      <c r="J117" s="10">
        <v>44942</v>
      </c>
      <c r="K117" s="9" t="s">
        <v>29</v>
      </c>
      <c r="L117" s="10">
        <v>45336</v>
      </c>
      <c r="M117" s="9"/>
    </row>
    <row r="118" spans="2:13" x14ac:dyDescent="0.25">
      <c r="B118" s="1">
        <v>114</v>
      </c>
      <c r="C118" s="9" t="s">
        <v>224</v>
      </c>
      <c r="D118" s="9" t="s">
        <v>225</v>
      </c>
      <c r="E118" s="9" t="s">
        <v>226</v>
      </c>
      <c r="F118" s="9" t="s">
        <v>227</v>
      </c>
      <c r="G118" s="9" t="s">
        <v>14</v>
      </c>
      <c r="H118" s="9" t="s">
        <v>20</v>
      </c>
      <c r="I118" s="9">
        <v>46713980</v>
      </c>
      <c r="J118" s="10">
        <v>44334</v>
      </c>
      <c r="K118" s="9" t="s">
        <v>57</v>
      </c>
      <c r="L118" s="10">
        <v>45337</v>
      </c>
      <c r="M118" s="9" t="s">
        <v>45</v>
      </c>
    </row>
    <row r="119" spans="2:13" x14ac:dyDescent="0.25">
      <c r="B119" s="1">
        <v>115</v>
      </c>
      <c r="C119" s="9" t="s">
        <v>228</v>
      </c>
      <c r="D119" s="9" t="s">
        <v>229</v>
      </c>
      <c r="E119" s="9" t="s">
        <v>230</v>
      </c>
      <c r="F119" s="9" t="s">
        <v>231</v>
      </c>
      <c r="G119" s="9" t="s">
        <v>14</v>
      </c>
      <c r="H119" s="9" t="s">
        <v>18</v>
      </c>
      <c r="I119" s="9">
        <v>62742806</v>
      </c>
      <c r="J119" s="10">
        <v>44855</v>
      </c>
      <c r="K119" s="9" t="s">
        <v>29</v>
      </c>
      <c r="L119" s="10">
        <v>45338</v>
      </c>
      <c r="M119" s="9"/>
    </row>
    <row r="120" spans="2:13" x14ac:dyDescent="0.25">
      <c r="B120" s="1">
        <v>116</v>
      </c>
      <c r="C120" s="9" t="s">
        <v>232</v>
      </c>
      <c r="D120" s="9" t="s">
        <v>233</v>
      </c>
      <c r="E120" s="9" t="s">
        <v>234</v>
      </c>
      <c r="F120" s="9" t="s">
        <v>197</v>
      </c>
      <c r="G120" s="9" t="s">
        <v>14</v>
      </c>
      <c r="H120" s="9" t="s">
        <v>19</v>
      </c>
      <c r="I120" s="9">
        <v>65971634</v>
      </c>
      <c r="J120" s="10">
        <v>44916</v>
      </c>
      <c r="K120" s="9" t="s">
        <v>235</v>
      </c>
      <c r="L120" s="10">
        <v>45338</v>
      </c>
      <c r="M120" s="9"/>
    </row>
    <row r="121" spans="2:13" x14ac:dyDescent="0.25">
      <c r="B121" s="1">
        <v>117</v>
      </c>
      <c r="C121" s="9" t="s">
        <v>237</v>
      </c>
      <c r="D121" s="9" t="s">
        <v>236</v>
      </c>
      <c r="E121" s="9" t="s">
        <v>238</v>
      </c>
      <c r="F121" s="9" t="s">
        <v>239</v>
      </c>
      <c r="G121" s="9" t="s">
        <v>14</v>
      </c>
      <c r="H121" s="9" t="s">
        <v>19</v>
      </c>
      <c r="I121" s="9">
        <v>60066795</v>
      </c>
      <c r="J121" s="10">
        <v>44763</v>
      </c>
      <c r="K121" s="9" t="s">
        <v>29</v>
      </c>
      <c r="L121" s="10">
        <v>45338</v>
      </c>
      <c r="M121" s="9" t="s">
        <v>45</v>
      </c>
    </row>
    <row r="122" spans="2:13" x14ac:dyDescent="0.25">
      <c r="B122" s="1">
        <v>118</v>
      </c>
      <c r="C122" s="9" t="s">
        <v>241</v>
      </c>
      <c r="D122" s="9" t="s">
        <v>240</v>
      </c>
      <c r="E122" s="9" t="s">
        <v>242</v>
      </c>
      <c r="F122" s="9" t="s">
        <v>243</v>
      </c>
      <c r="G122" s="9" t="s">
        <v>181</v>
      </c>
      <c r="H122" s="9" t="s">
        <v>22</v>
      </c>
      <c r="I122" s="9">
        <v>28265580</v>
      </c>
      <c r="J122" s="10">
        <v>43411</v>
      </c>
      <c r="K122" s="9" t="s">
        <v>244</v>
      </c>
      <c r="L122" s="10">
        <v>45341</v>
      </c>
      <c r="M122" s="9" t="s">
        <v>45</v>
      </c>
    </row>
    <row r="123" spans="2:13" x14ac:dyDescent="0.25">
      <c r="B123" s="1">
        <v>119</v>
      </c>
      <c r="C123" s="9" t="s">
        <v>246</v>
      </c>
      <c r="D123" s="9" t="s">
        <v>245</v>
      </c>
      <c r="E123" s="9" t="s">
        <v>247</v>
      </c>
      <c r="F123" s="9" t="s">
        <v>248</v>
      </c>
      <c r="G123" s="9" t="s">
        <v>14</v>
      </c>
      <c r="H123" s="9" t="s">
        <v>20</v>
      </c>
      <c r="I123" s="9">
        <v>66606765</v>
      </c>
      <c r="J123" s="10">
        <v>44959</v>
      </c>
      <c r="K123" s="9" t="s">
        <v>29</v>
      </c>
      <c r="L123" s="10">
        <v>45341</v>
      </c>
      <c r="M123" s="9"/>
    </row>
    <row r="124" spans="2:13" x14ac:dyDescent="0.25">
      <c r="B124" s="25">
        <v>120</v>
      </c>
      <c r="C124" s="24" t="s">
        <v>249</v>
      </c>
      <c r="D124" s="24" t="s">
        <v>250</v>
      </c>
      <c r="E124" s="24" t="s">
        <v>251</v>
      </c>
      <c r="F124" s="24" t="s">
        <v>252</v>
      </c>
      <c r="G124" s="24" t="s">
        <v>14</v>
      </c>
      <c r="H124" s="24" t="s">
        <v>22</v>
      </c>
      <c r="I124" s="24">
        <v>75773861</v>
      </c>
      <c r="J124" s="26">
        <v>45261</v>
      </c>
      <c r="K124" s="24" t="s">
        <v>53</v>
      </c>
      <c r="L124" s="26">
        <v>45341</v>
      </c>
      <c r="M124" s="24" t="s">
        <v>270</v>
      </c>
    </row>
    <row r="125" spans="2:13" x14ac:dyDescent="0.25">
      <c r="B125" s="1">
        <v>121</v>
      </c>
      <c r="C125" s="9" t="s">
        <v>253</v>
      </c>
      <c r="D125" s="9" t="s">
        <v>254</v>
      </c>
      <c r="E125" s="9" t="s">
        <v>255</v>
      </c>
      <c r="F125" s="9" t="s">
        <v>256</v>
      </c>
      <c r="G125" s="9" t="s">
        <v>257</v>
      </c>
      <c r="H125" s="9" t="s">
        <v>23</v>
      </c>
      <c r="I125" s="9">
        <v>33827494</v>
      </c>
      <c r="J125" s="10">
        <v>43668</v>
      </c>
      <c r="K125" s="9" t="s">
        <v>52</v>
      </c>
      <c r="L125" s="10">
        <v>45341</v>
      </c>
      <c r="M125" s="9"/>
    </row>
    <row r="126" spans="2:13" x14ac:dyDescent="0.25">
      <c r="B126" s="1">
        <v>122</v>
      </c>
      <c r="C126" s="9" t="s">
        <v>258</v>
      </c>
      <c r="D126" s="9" t="s">
        <v>259</v>
      </c>
      <c r="E126" s="9" t="s">
        <v>260</v>
      </c>
      <c r="F126" s="9" t="s">
        <v>261</v>
      </c>
      <c r="G126" s="9" t="s">
        <v>14</v>
      </c>
      <c r="H126" s="9" t="s">
        <v>18</v>
      </c>
      <c r="I126" s="9">
        <v>67173700</v>
      </c>
      <c r="J126" s="10">
        <v>44973</v>
      </c>
      <c r="K126" s="9" t="s">
        <v>29</v>
      </c>
      <c r="L126" s="10">
        <v>45341</v>
      </c>
      <c r="M126" s="9" t="s">
        <v>45</v>
      </c>
    </row>
    <row r="127" spans="2:13" x14ac:dyDescent="0.25">
      <c r="B127" s="1">
        <v>123</v>
      </c>
      <c r="C127" s="9">
        <v>650231657</v>
      </c>
      <c r="D127" s="9" t="s">
        <v>262</v>
      </c>
      <c r="E127" s="9" t="s">
        <v>263</v>
      </c>
      <c r="F127" s="9" t="s">
        <v>264</v>
      </c>
      <c r="G127" s="9" t="s">
        <v>14</v>
      </c>
      <c r="H127" s="9" t="s">
        <v>22</v>
      </c>
      <c r="I127" s="9">
        <v>66739374</v>
      </c>
      <c r="J127" s="10">
        <v>44988</v>
      </c>
      <c r="K127" s="9" t="s">
        <v>29</v>
      </c>
      <c r="L127" s="10">
        <v>45341</v>
      </c>
      <c r="M127" s="9" t="s">
        <v>45</v>
      </c>
    </row>
    <row r="128" spans="2:13" x14ac:dyDescent="0.25">
      <c r="B128" s="1">
        <v>124</v>
      </c>
      <c r="C128" s="9">
        <v>1723788418</v>
      </c>
      <c r="D128" s="9" t="s">
        <v>267</v>
      </c>
      <c r="E128" s="9" t="s">
        <v>268</v>
      </c>
      <c r="F128" s="9" t="s">
        <v>269</v>
      </c>
      <c r="G128" s="9" t="s">
        <v>14</v>
      </c>
      <c r="H128" s="9" t="s">
        <v>22</v>
      </c>
      <c r="I128" s="9">
        <v>64876847</v>
      </c>
      <c r="J128" s="10">
        <v>44930</v>
      </c>
      <c r="K128" s="9" t="s">
        <v>29</v>
      </c>
      <c r="L128" s="10">
        <v>45341</v>
      </c>
      <c r="M128" s="9" t="s">
        <v>45</v>
      </c>
    </row>
    <row r="129" spans="2:13" x14ac:dyDescent="0.25">
      <c r="B129" s="1">
        <v>125</v>
      </c>
      <c r="C129" s="9" t="s">
        <v>272</v>
      </c>
      <c r="D129" s="9" t="s">
        <v>271</v>
      </c>
      <c r="E129" s="9" t="s">
        <v>273</v>
      </c>
      <c r="F129" s="9" t="s">
        <v>197</v>
      </c>
      <c r="G129" s="9" t="s">
        <v>14</v>
      </c>
      <c r="H129" s="9" t="s">
        <v>19</v>
      </c>
      <c r="I129" s="9">
        <v>59718987</v>
      </c>
      <c r="J129" s="10">
        <v>44809</v>
      </c>
      <c r="K129" s="9" t="s">
        <v>29</v>
      </c>
      <c r="L129" s="10">
        <v>45343</v>
      </c>
      <c r="M129" s="9" t="s">
        <v>45</v>
      </c>
    </row>
    <row r="130" spans="2:13" x14ac:dyDescent="0.25">
      <c r="B130" s="1">
        <v>126</v>
      </c>
      <c r="C130" s="9" t="s">
        <v>274</v>
      </c>
      <c r="D130" s="9" t="s">
        <v>275</v>
      </c>
      <c r="E130" s="9" t="s">
        <v>276</v>
      </c>
      <c r="F130" s="9" t="s">
        <v>197</v>
      </c>
      <c r="G130" s="9" t="s">
        <v>14</v>
      </c>
      <c r="H130" s="9" t="s">
        <v>19</v>
      </c>
      <c r="I130" s="9">
        <v>64082370</v>
      </c>
      <c r="J130" s="10">
        <v>44959</v>
      </c>
      <c r="K130" s="9" t="s">
        <v>29</v>
      </c>
      <c r="L130" s="10">
        <v>45343</v>
      </c>
      <c r="M130" s="9" t="s">
        <v>45</v>
      </c>
    </row>
    <row r="131" spans="2:13" x14ac:dyDescent="0.25">
      <c r="B131" s="1">
        <v>127</v>
      </c>
      <c r="C131" s="9" t="s">
        <v>277</v>
      </c>
      <c r="D131" s="9" t="s">
        <v>278</v>
      </c>
      <c r="E131" s="9" t="s">
        <v>279</v>
      </c>
      <c r="F131" s="9" t="s">
        <v>280</v>
      </c>
      <c r="G131" s="9" t="s">
        <v>14</v>
      </c>
      <c r="H131" s="9" t="s">
        <v>19</v>
      </c>
      <c r="I131" s="9">
        <v>66643103</v>
      </c>
      <c r="J131" s="10" t="s">
        <v>281</v>
      </c>
      <c r="K131" s="9" t="s">
        <v>29</v>
      </c>
      <c r="L131" s="10">
        <v>45343</v>
      </c>
      <c r="M131" s="9" t="s">
        <v>45</v>
      </c>
    </row>
    <row r="132" spans="2:13" x14ac:dyDescent="0.25">
      <c r="B132" s="1">
        <v>128</v>
      </c>
      <c r="C132" s="9" t="s">
        <v>282</v>
      </c>
      <c r="D132" s="9" t="s">
        <v>283</v>
      </c>
      <c r="E132" s="9" t="s">
        <v>284</v>
      </c>
      <c r="F132" s="9" t="s">
        <v>285</v>
      </c>
      <c r="G132" s="9" t="s">
        <v>14</v>
      </c>
      <c r="H132" s="9" t="s">
        <v>18</v>
      </c>
      <c r="I132" s="9">
        <v>68141388</v>
      </c>
      <c r="J132" s="10">
        <v>45026</v>
      </c>
      <c r="K132" s="9" t="s">
        <v>57</v>
      </c>
      <c r="L132" s="10">
        <v>45344</v>
      </c>
      <c r="M132" s="9"/>
    </row>
    <row r="133" spans="2:13" x14ac:dyDescent="0.25">
      <c r="B133" s="1">
        <v>129</v>
      </c>
      <c r="C133" s="9" t="s">
        <v>286</v>
      </c>
      <c r="D133" s="9" t="s">
        <v>287</v>
      </c>
      <c r="E133" s="9" t="s">
        <v>288</v>
      </c>
      <c r="F133" s="9" t="s">
        <v>289</v>
      </c>
      <c r="G133" s="9" t="s">
        <v>14</v>
      </c>
      <c r="H133" s="9" t="s">
        <v>19</v>
      </c>
      <c r="I133" s="9">
        <v>66342797</v>
      </c>
      <c r="J133" s="10">
        <v>44939</v>
      </c>
      <c r="K133" s="9" t="s">
        <v>29</v>
      </c>
      <c r="L133" s="10">
        <v>45344</v>
      </c>
      <c r="M133" s="9" t="s">
        <v>45</v>
      </c>
    </row>
    <row r="134" spans="2:13" x14ac:dyDescent="0.25">
      <c r="B134" s="1">
        <v>130</v>
      </c>
      <c r="C134" s="9" t="s">
        <v>290</v>
      </c>
      <c r="D134" s="9" t="s">
        <v>291</v>
      </c>
      <c r="E134" s="9" t="s">
        <v>292</v>
      </c>
      <c r="F134" s="9" t="s">
        <v>293</v>
      </c>
      <c r="G134" s="9" t="s">
        <v>14</v>
      </c>
      <c r="H134" s="9" t="s">
        <v>20</v>
      </c>
      <c r="I134" s="9">
        <v>62322651</v>
      </c>
      <c r="J134" s="10">
        <v>44838</v>
      </c>
      <c r="K134" s="9" t="s">
        <v>29</v>
      </c>
      <c r="L134" s="10">
        <v>45344</v>
      </c>
      <c r="M134" s="9" t="s">
        <v>45</v>
      </c>
    </row>
    <row r="135" spans="2:13" x14ac:dyDescent="0.25">
      <c r="B135" s="1">
        <v>131</v>
      </c>
      <c r="C135" s="9" t="s">
        <v>294</v>
      </c>
      <c r="D135" s="9" t="s">
        <v>295</v>
      </c>
      <c r="E135" s="9" t="s">
        <v>296</v>
      </c>
      <c r="F135" s="9" t="s">
        <v>297</v>
      </c>
      <c r="G135" s="9" t="s">
        <v>14</v>
      </c>
      <c r="H135" s="9" t="s">
        <v>18</v>
      </c>
      <c r="I135" s="9">
        <v>69051381</v>
      </c>
      <c r="J135" s="10">
        <v>45050</v>
      </c>
      <c r="K135" s="9" t="s">
        <v>29</v>
      </c>
      <c r="L135" s="10">
        <v>45344</v>
      </c>
      <c r="M135" s="9" t="s">
        <v>45</v>
      </c>
    </row>
    <row r="136" spans="2:13" x14ac:dyDescent="0.25">
      <c r="B136" s="1">
        <v>132</v>
      </c>
      <c r="C136" s="9" t="s">
        <v>299</v>
      </c>
      <c r="D136" s="9" t="s">
        <v>300</v>
      </c>
      <c r="E136" s="16" t="s">
        <v>301</v>
      </c>
      <c r="F136" s="9" t="s">
        <v>302</v>
      </c>
      <c r="G136" s="9" t="s">
        <v>257</v>
      </c>
      <c r="H136" s="9" t="s">
        <v>23</v>
      </c>
      <c r="I136" s="9">
        <v>35855690</v>
      </c>
      <c r="J136" s="10">
        <v>43712</v>
      </c>
      <c r="K136" s="9" t="s">
        <v>31</v>
      </c>
      <c r="L136" s="10">
        <v>45344</v>
      </c>
      <c r="M136" s="9" t="s">
        <v>45</v>
      </c>
    </row>
    <row r="137" spans="2:13" x14ac:dyDescent="0.25">
      <c r="B137" s="1">
        <v>133</v>
      </c>
      <c r="C137" s="9" t="s">
        <v>304</v>
      </c>
      <c r="D137" s="9" t="s">
        <v>305</v>
      </c>
      <c r="E137" s="9" t="s">
        <v>306</v>
      </c>
      <c r="F137" s="9" t="s">
        <v>197</v>
      </c>
      <c r="G137" s="9" t="s">
        <v>14</v>
      </c>
      <c r="H137" s="9" t="s">
        <v>19</v>
      </c>
      <c r="I137" s="9">
        <v>61808236</v>
      </c>
      <c r="J137" s="10">
        <v>44824</v>
      </c>
      <c r="K137" s="9" t="s">
        <v>29</v>
      </c>
      <c r="L137" s="10">
        <v>45344</v>
      </c>
      <c r="M137" s="9" t="s">
        <v>45</v>
      </c>
    </row>
    <row r="138" spans="2:13" x14ac:dyDescent="0.25">
      <c r="B138" s="1">
        <v>134</v>
      </c>
      <c r="C138" s="9" t="s">
        <v>307</v>
      </c>
      <c r="D138" s="9" t="s">
        <v>308</v>
      </c>
      <c r="E138" s="9" t="s">
        <v>309</v>
      </c>
      <c r="F138" s="9" t="s">
        <v>310</v>
      </c>
      <c r="G138" s="9" t="s">
        <v>14</v>
      </c>
      <c r="H138" s="9" t="s">
        <v>18</v>
      </c>
      <c r="I138" s="9">
        <v>66003669</v>
      </c>
      <c r="J138" s="10">
        <v>44936</v>
      </c>
      <c r="K138" s="9" t="s">
        <v>29</v>
      </c>
      <c r="L138" s="10">
        <v>45344</v>
      </c>
      <c r="M138" s="9" t="s">
        <v>45</v>
      </c>
    </row>
    <row r="139" spans="2:13" x14ac:dyDescent="0.25">
      <c r="B139" s="1">
        <v>135</v>
      </c>
      <c r="C139" s="9" t="s">
        <v>311</v>
      </c>
      <c r="D139" s="9" t="s">
        <v>312</v>
      </c>
      <c r="E139" s="9" t="s">
        <v>313</v>
      </c>
      <c r="F139" s="9" t="s">
        <v>314</v>
      </c>
      <c r="G139" s="9" t="s">
        <v>14</v>
      </c>
      <c r="H139" s="9" t="s">
        <v>19</v>
      </c>
      <c r="I139" s="9">
        <v>60946313</v>
      </c>
      <c r="J139" s="10">
        <v>44792</v>
      </c>
      <c r="K139" s="9" t="s">
        <v>29</v>
      </c>
      <c r="L139" s="10">
        <v>45345</v>
      </c>
      <c r="M139" s="9" t="s">
        <v>45</v>
      </c>
    </row>
    <row r="140" spans="2:13" x14ac:dyDescent="0.25">
      <c r="B140" s="1">
        <v>136</v>
      </c>
      <c r="C140" s="9" t="s">
        <v>315</v>
      </c>
      <c r="D140" s="9" t="s">
        <v>316</v>
      </c>
      <c r="E140" s="9" t="s">
        <v>317</v>
      </c>
      <c r="F140" s="9" t="s">
        <v>318</v>
      </c>
      <c r="G140" s="9" t="s">
        <v>14</v>
      </c>
      <c r="H140" s="9" t="s">
        <v>18</v>
      </c>
      <c r="I140" s="9">
        <v>65528352</v>
      </c>
      <c r="J140" s="10">
        <v>44897</v>
      </c>
      <c r="K140" s="9" t="s">
        <v>29</v>
      </c>
      <c r="L140" s="10">
        <v>45345</v>
      </c>
      <c r="M140" s="9" t="s">
        <v>45</v>
      </c>
    </row>
    <row r="141" spans="2:13" x14ac:dyDescent="0.25">
      <c r="B141" s="1">
        <v>137</v>
      </c>
      <c r="C141" s="9" t="s">
        <v>319</v>
      </c>
      <c r="D141" s="9" t="s">
        <v>320</v>
      </c>
      <c r="E141" s="9" t="s">
        <v>321</v>
      </c>
      <c r="F141" s="9" t="s">
        <v>322</v>
      </c>
      <c r="G141" s="9" t="s">
        <v>14</v>
      </c>
      <c r="H141" s="9" t="s">
        <v>19</v>
      </c>
      <c r="I141" s="9">
        <v>66262070</v>
      </c>
      <c r="J141" s="10">
        <v>44929</v>
      </c>
      <c r="K141" s="9" t="s">
        <v>29</v>
      </c>
      <c r="L141" s="10">
        <v>45345</v>
      </c>
      <c r="M141" s="9"/>
    </row>
    <row r="142" spans="2:13" x14ac:dyDescent="0.25">
      <c r="B142" s="1">
        <v>138</v>
      </c>
      <c r="C142" s="9" t="s">
        <v>323</v>
      </c>
      <c r="D142" s="9" t="s">
        <v>324</v>
      </c>
      <c r="E142" s="9" t="s">
        <v>325</v>
      </c>
      <c r="F142" s="9" t="s">
        <v>326</v>
      </c>
      <c r="G142" s="9" t="s">
        <v>14</v>
      </c>
      <c r="H142" s="9" t="s">
        <v>19</v>
      </c>
      <c r="I142" s="9">
        <v>67693833</v>
      </c>
      <c r="J142" s="10">
        <v>45082</v>
      </c>
      <c r="K142" s="9" t="s">
        <v>31</v>
      </c>
      <c r="L142" s="10">
        <v>45348</v>
      </c>
      <c r="M142" s="9" t="s">
        <v>45</v>
      </c>
    </row>
    <row r="143" spans="2:13" x14ac:dyDescent="0.25">
      <c r="B143" s="1">
        <v>139</v>
      </c>
      <c r="C143" s="9" t="s">
        <v>327</v>
      </c>
      <c r="D143" s="9" t="s">
        <v>328</v>
      </c>
      <c r="E143" s="9" t="s">
        <v>329</v>
      </c>
      <c r="F143" s="9" t="s">
        <v>330</v>
      </c>
      <c r="G143" s="9" t="s">
        <v>14</v>
      </c>
      <c r="H143" s="9" t="s">
        <v>18</v>
      </c>
      <c r="I143" s="9">
        <v>61363858</v>
      </c>
      <c r="J143" s="10">
        <v>44810</v>
      </c>
      <c r="K143" s="9" t="s">
        <v>29</v>
      </c>
      <c r="L143" s="10">
        <v>45348</v>
      </c>
      <c r="M143" s="9" t="s">
        <v>45</v>
      </c>
    </row>
    <row r="144" spans="2:13" x14ac:dyDescent="0.25">
      <c r="B144" s="1">
        <v>140</v>
      </c>
      <c r="C144" s="9" t="s">
        <v>331</v>
      </c>
      <c r="D144" s="9" t="s">
        <v>332</v>
      </c>
      <c r="E144" s="9" t="s">
        <v>333</v>
      </c>
      <c r="F144" s="9" t="s">
        <v>334</v>
      </c>
      <c r="G144" s="9" t="s">
        <v>14</v>
      </c>
      <c r="H144" s="9" t="s">
        <v>18</v>
      </c>
      <c r="I144" s="9">
        <v>62833335</v>
      </c>
      <c r="J144" s="10">
        <v>44988</v>
      </c>
      <c r="K144" s="9" t="s">
        <v>29</v>
      </c>
      <c r="L144" s="10">
        <v>45348</v>
      </c>
      <c r="M144" s="9" t="s">
        <v>45</v>
      </c>
    </row>
    <row r="145" spans="2:13" x14ac:dyDescent="0.25">
      <c r="B145" s="1">
        <v>141</v>
      </c>
      <c r="C145" s="9" t="s">
        <v>335</v>
      </c>
      <c r="D145" s="9" t="s">
        <v>336</v>
      </c>
      <c r="E145" s="9" t="s">
        <v>337</v>
      </c>
      <c r="F145" s="9" t="s">
        <v>338</v>
      </c>
      <c r="G145" s="9" t="s">
        <v>14</v>
      </c>
      <c r="H145" s="9" t="s">
        <v>18</v>
      </c>
      <c r="I145" s="9">
        <v>60380505</v>
      </c>
      <c r="J145" s="10">
        <v>44833</v>
      </c>
      <c r="K145" s="9" t="s">
        <v>29</v>
      </c>
      <c r="L145" s="10">
        <v>45348</v>
      </c>
      <c r="M145" s="9" t="s">
        <v>45</v>
      </c>
    </row>
    <row r="146" spans="2:13" x14ac:dyDescent="0.25">
      <c r="B146" s="1">
        <v>142</v>
      </c>
      <c r="C146" s="9" t="s">
        <v>339</v>
      </c>
      <c r="D146" s="9" t="s">
        <v>340</v>
      </c>
      <c r="E146" s="9" t="s">
        <v>341</v>
      </c>
      <c r="F146" s="9" t="s">
        <v>342</v>
      </c>
      <c r="G146" s="9" t="s">
        <v>14</v>
      </c>
      <c r="H146" s="9" t="s">
        <v>19</v>
      </c>
      <c r="I146" s="9">
        <v>58786176</v>
      </c>
      <c r="J146" s="10">
        <v>44823</v>
      </c>
      <c r="K146" s="9" t="s">
        <v>29</v>
      </c>
      <c r="L146" s="10">
        <v>45349</v>
      </c>
      <c r="M146" s="9" t="s">
        <v>45</v>
      </c>
    </row>
    <row r="147" spans="2:13" x14ac:dyDescent="0.25">
      <c r="B147" s="1">
        <v>143</v>
      </c>
      <c r="C147" s="9" t="s">
        <v>343</v>
      </c>
      <c r="D147" s="9" t="s">
        <v>344</v>
      </c>
      <c r="E147" s="9" t="s">
        <v>345</v>
      </c>
      <c r="F147" s="9" t="s">
        <v>346</v>
      </c>
      <c r="G147" s="9" t="s">
        <v>14</v>
      </c>
      <c r="H147" s="9" t="s">
        <v>19</v>
      </c>
      <c r="I147" s="9">
        <v>59748442</v>
      </c>
      <c r="J147" s="10">
        <v>44749</v>
      </c>
      <c r="K147" s="9" t="s">
        <v>36</v>
      </c>
      <c r="L147" s="10">
        <v>45349</v>
      </c>
      <c r="M147" s="9" t="s">
        <v>45</v>
      </c>
    </row>
    <row r="148" spans="2:13" x14ac:dyDescent="0.25">
      <c r="B148" s="1">
        <v>144</v>
      </c>
      <c r="C148" s="9" t="s">
        <v>347</v>
      </c>
      <c r="D148" s="9" t="s">
        <v>348</v>
      </c>
      <c r="E148" s="9" t="s">
        <v>349</v>
      </c>
      <c r="F148" s="9" t="s">
        <v>350</v>
      </c>
      <c r="G148" s="9" t="s">
        <v>15</v>
      </c>
      <c r="H148" s="9" t="s">
        <v>19</v>
      </c>
      <c r="I148" s="9">
        <v>62445570</v>
      </c>
      <c r="J148" s="10">
        <v>44942</v>
      </c>
      <c r="K148" s="9" t="s">
        <v>33</v>
      </c>
      <c r="L148" s="10">
        <v>45350</v>
      </c>
      <c r="M148" s="9" t="s">
        <v>45</v>
      </c>
    </row>
    <row r="149" spans="2:13" x14ac:dyDescent="0.25">
      <c r="B149" s="1">
        <v>145</v>
      </c>
      <c r="C149" s="9" t="s">
        <v>352</v>
      </c>
      <c r="D149" s="9" t="s">
        <v>351</v>
      </c>
      <c r="E149" s="9" t="s">
        <v>353</v>
      </c>
      <c r="F149" s="9" t="s">
        <v>354</v>
      </c>
      <c r="G149" s="9" t="s">
        <v>14</v>
      </c>
      <c r="H149" s="9" t="s">
        <v>20</v>
      </c>
      <c r="I149" s="9">
        <v>66632222</v>
      </c>
      <c r="J149" s="10">
        <v>44963</v>
      </c>
      <c r="K149" s="9" t="s">
        <v>29</v>
      </c>
      <c r="L149" s="10">
        <v>45350</v>
      </c>
      <c r="M149" s="9" t="s">
        <v>45</v>
      </c>
    </row>
    <row r="150" spans="2:13" x14ac:dyDescent="0.25">
      <c r="B150" s="1">
        <v>146</v>
      </c>
      <c r="C150" s="9" t="s">
        <v>356</v>
      </c>
      <c r="D150" s="9" t="s">
        <v>355</v>
      </c>
      <c r="E150" s="9" t="s">
        <v>357</v>
      </c>
      <c r="F150" s="9" t="s">
        <v>358</v>
      </c>
      <c r="G150" s="9" t="s">
        <v>14</v>
      </c>
      <c r="H150" s="9" t="s">
        <v>19</v>
      </c>
      <c r="I150" s="9">
        <v>66229142</v>
      </c>
      <c r="J150" s="10">
        <v>44915</v>
      </c>
      <c r="K150" s="9" t="s">
        <v>31</v>
      </c>
      <c r="L150" s="10">
        <v>45350</v>
      </c>
      <c r="M150" s="9" t="s">
        <v>45</v>
      </c>
    </row>
    <row r="151" spans="2:13" x14ac:dyDescent="0.25">
      <c r="B151" s="1">
        <v>147</v>
      </c>
      <c r="C151" s="9" t="s">
        <v>359</v>
      </c>
      <c r="D151" s="9" t="s">
        <v>360</v>
      </c>
      <c r="E151" s="9" t="s">
        <v>361</v>
      </c>
      <c r="F151" s="9" t="s">
        <v>362</v>
      </c>
      <c r="G151" s="9" t="s">
        <v>14</v>
      </c>
      <c r="H151" s="9" t="s">
        <v>20</v>
      </c>
      <c r="I151" s="9">
        <v>66441321</v>
      </c>
      <c r="J151" s="10">
        <v>44944</v>
      </c>
      <c r="K151" s="9" t="s">
        <v>29</v>
      </c>
      <c r="L151" s="10">
        <v>45350</v>
      </c>
      <c r="M151" s="9" t="s">
        <v>45</v>
      </c>
    </row>
    <row r="152" spans="2:13" x14ac:dyDescent="0.25">
      <c r="B152" s="1">
        <v>148</v>
      </c>
      <c r="C152" s="9" t="s">
        <v>363</v>
      </c>
      <c r="D152" s="9" t="s">
        <v>364</v>
      </c>
      <c r="E152" s="9" t="s">
        <v>365</v>
      </c>
      <c r="F152" s="9" t="s">
        <v>366</v>
      </c>
      <c r="G152" s="9" t="s">
        <v>14</v>
      </c>
      <c r="H152" s="9" t="s">
        <v>19</v>
      </c>
      <c r="I152" s="9">
        <v>59344528</v>
      </c>
      <c r="J152" s="10">
        <v>44803</v>
      </c>
      <c r="K152" s="9" t="s">
        <v>29</v>
      </c>
      <c r="L152" s="10">
        <v>45350</v>
      </c>
      <c r="M152" s="9" t="s">
        <v>45</v>
      </c>
    </row>
    <row r="153" spans="2:13" x14ac:dyDescent="0.25">
      <c r="B153" s="1">
        <v>149</v>
      </c>
      <c r="C153" s="9" t="s">
        <v>367</v>
      </c>
      <c r="D153" s="9" t="s">
        <v>368</v>
      </c>
      <c r="E153" s="9" t="s">
        <v>369</v>
      </c>
      <c r="F153" s="9" t="s">
        <v>370</v>
      </c>
      <c r="G153" s="9" t="s">
        <v>14</v>
      </c>
      <c r="H153" s="9" t="s">
        <v>19</v>
      </c>
      <c r="I153" s="9">
        <v>65828434</v>
      </c>
      <c r="J153" s="10">
        <v>44960</v>
      </c>
      <c r="K153" s="9" t="s">
        <v>29</v>
      </c>
      <c r="L153" s="10">
        <v>45351</v>
      </c>
      <c r="M153" s="9" t="s">
        <v>45</v>
      </c>
    </row>
    <row r="154" spans="2:13" x14ac:dyDescent="0.25">
      <c r="B154" s="1">
        <v>150</v>
      </c>
      <c r="C154" s="9" t="s">
        <v>371</v>
      </c>
      <c r="D154" s="9" t="s">
        <v>372</v>
      </c>
      <c r="E154" s="9" t="s">
        <v>373</v>
      </c>
      <c r="F154" s="9" t="s">
        <v>374</v>
      </c>
      <c r="G154" s="9" t="s">
        <v>14</v>
      </c>
      <c r="H154" s="9" t="s">
        <v>18</v>
      </c>
      <c r="I154" s="9">
        <v>67178614</v>
      </c>
      <c r="J154" s="10">
        <v>44964</v>
      </c>
      <c r="K154" s="9" t="s">
        <v>29</v>
      </c>
      <c r="L154" s="10">
        <v>45352</v>
      </c>
      <c r="M154" s="9" t="s">
        <v>45</v>
      </c>
    </row>
    <row r="155" spans="2:13" x14ac:dyDescent="0.25">
      <c r="B155" s="1">
        <v>151</v>
      </c>
      <c r="C155" s="9" t="s">
        <v>375</v>
      </c>
      <c r="D155" s="9" t="s">
        <v>376</v>
      </c>
      <c r="E155" s="9" t="s">
        <v>377</v>
      </c>
      <c r="F155" s="9" t="s">
        <v>378</v>
      </c>
      <c r="G155" s="9" t="s">
        <v>14</v>
      </c>
      <c r="H155" s="9" t="s">
        <v>20</v>
      </c>
      <c r="I155" s="9">
        <v>69270376</v>
      </c>
      <c r="J155" s="10">
        <v>45058</v>
      </c>
      <c r="K155" s="9" t="s">
        <v>29</v>
      </c>
      <c r="L155" s="10">
        <v>45352</v>
      </c>
      <c r="M155" s="9" t="s">
        <v>45</v>
      </c>
    </row>
    <row r="156" spans="2:13" x14ac:dyDescent="0.25">
      <c r="B156" s="1">
        <v>152</v>
      </c>
      <c r="C156" s="9" t="s">
        <v>379</v>
      </c>
      <c r="D156" s="9" t="s">
        <v>380</v>
      </c>
      <c r="E156" s="9" t="s">
        <v>381</v>
      </c>
      <c r="F156" s="9" t="s">
        <v>382</v>
      </c>
      <c r="G156" s="9" t="s">
        <v>14</v>
      </c>
      <c r="H156" s="9" t="s">
        <v>18</v>
      </c>
      <c r="I156" s="9">
        <v>64351801</v>
      </c>
      <c r="J156" s="10">
        <v>44966</v>
      </c>
      <c r="K156" s="9" t="s">
        <v>29</v>
      </c>
      <c r="L156" s="10">
        <v>45352</v>
      </c>
      <c r="M156" s="9" t="s">
        <v>45</v>
      </c>
    </row>
    <row r="157" spans="2:13" x14ac:dyDescent="0.25">
      <c r="B157" s="1">
        <v>153</v>
      </c>
      <c r="C157" s="9" t="s">
        <v>383</v>
      </c>
      <c r="D157" s="9" t="s">
        <v>384</v>
      </c>
      <c r="E157" s="9" t="s">
        <v>385</v>
      </c>
      <c r="F157" s="9" t="s">
        <v>386</v>
      </c>
      <c r="G157" s="9" t="s">
        <v>14</v>
      </c>
      <c r="H157" s="9" t="s">
        <v>19</v>
      </c>
      <c r="I157" s="9">
        <v>61370943</v>
      </c>
      <c r="J157" s="10">
        <v>44813</v>
      </c>
      <c r="K157" s="9" t="s">
        <v>29</v>
      </c>
      <c r="L157" s="10">
        <v>45355</v>
      </c>
      <c r="M157" s="9" t="s">
        <v>45</v>
      </c>
    </row>
    <row r="158" spans="2:13" x14ac:dyDescent="0.25">
      <c r="B158" s="1">
        <v>154</v>
      </c>
      <c r="C158" s="9" t="s">
        <v>387</v>
      </c>
      <c r="D158" s="9" t="s">
        <v>388</v>
      </c>
      <c r="E158" s="9" t="s">
        <v>389</v>
      </c>
      <c r="F158" s="9" t="s">
        <v>390</v>
      </c>
      <c r="G158" s="9" t="s">
        <v>14</v>
      </c>
      <c r="H158" s="9" t="s">
        <v>19</v>
      </c>
      <c r="I158" s="9">
        <v>44168686</v>
      </c>
      <c r="J158" s="10">
        <v>44196</v>
      </c>
      <c r="K158" s="9" t="s">
        <v>67</v>
      </c>
      <c r="L158" s="10">
        <v>45355</v>
      </c>
      <c r="M158" s="9" t="s">
        <v>45</v>
      </c>
    </row>
    <row r="159" spans="2:13" x14ac:dyDescent="0.25">
      <c r="B159" s="1">
        <v>155</v>
      </c>
      <c r="C159" s="9" t="s">
        <v>391</v>
      </c>
      <c r="D159" s="9" t="s">
        <v>392</v>
      </c>
      <c r="E159" s="9" t="s">
        <v>393</v>
      </c>
      <c r="F159" s="9" t="s">
        <v>394</v>
      </c>
      <c r="G159" s="9" t="s">
        <v>14</v>
      </c>
      <c r="H159" s="9" t="s">
        <v>19</v>
      </c>
      <c r="I159" s="9">
        <v>47283587</v>
      </c>
      <c r="J159" s="10">
        <v>44344</v>
      </c>
      <c r="K159" s="9" t="s">
        <v>31</v>
      </c>
      <c r="L159" s="10">
        <v>45355</v>
      </c>
      <c r="M159" s="9" t="s">
        <v>45</v>
      </c>
    </row>
    <row r="160" spans="2:13" x14ac:dyDescent="0.25">
      <c r="B160" s="1">
        <v>156</v>
      </c>
      <c r="C160" s="9" t="s">
        <v>395</v>
      </c>
      <c r="D160" s="9" t="s">
        <v>396</v>
      </c>
      <c r="E160" s="9" t="s">
        <v>397</v>
      </c>
      <c r="F160" s="9" t="s">
        <v>398</v>
      </c>
      <c r="G160" s="9" t="s">
        <v>14</v>
      </c>
      <c r="H160" s="9" t="s">
        <v>18</v>
      </c>
      <c r="I160" s="9">
        <v>66668795</v>
      </c>
      <c r="J160" s="10">
        <v>44939</v>
      </c>
      <c r="K160" s="9" t="s">
        <v>29</v>
      </c>
      <c r="L160" s="10">
        <v>45355</v>
      </c>
      <c r="M160" s="9" t="s">
        <v>45</v>
      </c>
    </row>
    <row r="161" spans="2:13" x14ac:dyDescent="0.25">
      <c r="B161" s="1">
        <v>157</v>
      </c>
      <c r="C161" s="9" t="s">
        <v>399</v>
      </c>
      <c r="D161" s="9" t="s">
        <v>400</v>
      </c>
      <c r="E161" s="9" t="s">
        <v>401</v>
      </c>
      <c r="F161" s="9" t="s">
        <v>402</v>
      </c>
      <c r="G161" s="9" t="s">
        <v>14</v>
      </c>
      <c r="H161" s="9" t="s">
        <v>19</v>
      </c>
      <c r="I161" s="9">
        <v>66578981</v>
      </c>
      <c r="J161" s="10">
        <v>44956</v>
      </c>
      <c r="K161" s="9" t="s">
        <v>29</v>
      </c>
      <c r="L161" s="10">
        <v>45356</v>
      </c>
      <c r="M161" s="9" t="s">
        <v>45</v>
      </c>
    </row>
    <row r="162" spans="2:13" x14ac:dyDescent="0.25">
      <c r="B162" s="1">
        <v>158</v>
      </c>
      <c r="C162" s="9" t="s">
        <v>404</v>
      </c>
      <c r="D162" s="9" t="s">
        <v>403</v>
      </c>
      <c r="E162" s="9" t="s">
        <v>405</v>
      </c>
      <c r="F162" s="9"/>
      <c r="G162" s="9" t="s">
        <v>14</v>
      </c>
      <c r="H162" s="9" t="s">
        <v>22</v>
      </c>
      <c r="I162" s="9">
        <v>61501807</v>
      </c>
      <c r="J162" s="10">
        <v>44784</v>
      </c>
      <c r="K162" s="9" t="s">
        <v>29</v>
      </c>
      <c r="L162" s="10">
        <v>45356</v>
      </c>
      <c r="M162" s="9" t="s">
        <v>45</v>
      </c>
    </row>
    <row r="163" spans="2:13" x14ac:dyDescent="0.25">
      <c r="B163" s="1">
        <v>159</v>
      </c>
      <c r="C163" s="9" t="s">
        <v>406</v>
      </c>
      <c r="D163" s="9" t="s">
        <v>407</v>
      </c>
      <c r="E163" s="9" t="s">
        <v>408</v>
      </c>
      <c r="F163" s="9" t="s">
        <v>409</v>
      </c>
      <c r="G163" s="9" t="s">
        <v>14</v>
      </c>
      <c r="H163" s="9" t="s">
        <v>20</v>
      </c>
      <c r="I163" s="9">
        <v>61611942</v>
      </c>
      <c r="J163" s="10">
        <v>44761</v>
      </c>
      <c r="K163" s="9" t="s">
        <v>29</v>
      </c>
      <c r="L163" s="10">
        <v>45356</v>
      </c>
      <c r="M163" s="9" t="s">
        <v>45</v>
      </c>
    </row>
    <row r="164" spans="2:13" x14ac:dyDescent="0.25">
      <c r="B164" s="1">
        <v>160</v>
      </c>
      <c r="C164" s="9" t="s">
        <v>410</v>
      </c>
      <c r="D164" s="9" t="s">
        <v>411</v>
      </c>
      <c r="E164" s="9" t="s">
        <v>412</v>
      </c>
      <c r="F164" s="9" t="s">
        <v>413</v>
      </c>
      <c r="G164" s="9" t="s">
        <v>14</v>
      </c>
      <c r="H164" s="9" t="s">
        <v>19</v>
      </c>
      <c r="I164" s="9">
        <v>60040054</v>
      </c>
      <c r="J164" s="10">
        <v>44763</v>
      </c>
      <c r="K164" s="9" t="s">
        <v>29</v>
      </c>
      <c r="L164" s="10">
        <v>45357</v>
      </c>
      <c r="M164" s="9" t="s">
        <v>45</v>
      </c>
    </row>
    <row r="165" spans="2:13" x14ac:dyDescent="0.25">
      <c r="B165" s="1">
        <v>161</v>
      </c>
      <c r="C165" s="9" t="s">
        <v>414</v>
      </c>
      <c r="D165" s="9" t="s">
        <v>415</v>
      </c>
      <c r="E165" s="9" t="s">
        <v>416</v>
      </c>
      <c r="F165" s="9" t="s">
        <v>417</v>
      </c>
      <c r="G165" s="9" t="s">
        <v>14</v>
      </c>
      <c r="H165" s="9" t="s">
        <v>20</v>
      </c>
      <c r="I165" s="9">
        <v>63325003</v>
      </c>
      <c r="J165" s="10">
        <v>44879</v>
      </c>
      <c r="K165" s="9" t="s">
        <v>29</v>
      </c>
      <c r="L165" s="10">
        <v>45357</v>
      </c>
      <c r="M165" s="9" t="s">
        <v>45</v>
      </c>
    </row>
    <row r="166" spans="2:13" x14ac:dyDescent="0.25">
      <c r="B166" s="1">
        <v>162</v>
      </c>
      <c r="C166" s="9" t="s">
        <v>418</v>
      </c>
      <c r="D166" s="9" t="s">
        <v>419</v>
      </c>
      <c r="E166" s="9" t="s">
        <v>420</v>
      </c>
      <c r="F166" s="9" t="s">
        <v>421</v>
      </c>
      <c r="G166" s="9" t="s">
        <v>14</v>
      </c>
      <c r="H166" s="9" t="s">
        <v>22</v>
      </c>
      <c r="I166" s="9">
        <v>63572742</v>
      </c>
      <c r="J166" s="10">
        <v>44888</v>
      </c>
      <c r="K166" s="9" t="s">
        <v>29</v>
      </c>
      <c r="L166" s="10">
        <v>45357</v>
      </c>
      <c r="M166" s="9" t="s">
        <v>45</v>
      </c>
    </row>
    <row r="167" spans="2:13" x14ac:dyDescent="0.25">
      <c r="B167" s="1">
        <v>163</v>
      </c>
      <c r="C167" s="9" t="s">
        <v>423</v>
      </c>
      <c r="D167" s="9" t="s">
        <v>422</v>
      </c>
      <c r="E167" s="9" t="s">
        <v>424</v>
      </c>
      <c r="F167" s="9" t="s">
        <v>425</v>
      </c>
      <c r="G167" s="9" t="s">
        <v>14</v>
      </c>
      <c r="H167" s="9" t="s">
        <v>18</v>
      </c>
      <c r="I167" s="9">
        <v>65135122</v>
      </c>
      <c r="J167" s="10">
        <v>44886</v>
      </c>
      <c r="K167" s="9" t="s">
        <v>29</v>
      </c>
      <c r="L167" s="10">
        <v>45358</v>
      </c>
      <c r="M167" s="9" t="s">
        <v>45</v>
      </c>
    </row>
    <row r="168" spans="2:13" x14ac:dyDescent="0.25">
      <c r="B168" s="1">
        <v>164</v>
      </c>
      <c r="C168" s="9" t="s">
        <v>426</v>
      </c>
      <c r="D168" s="9" t="s">
        <v>427</v>
      </c>
      <c r="E168" s="9" t="s">
        <v>428</v>
      </c>
      <c r="F168" s="9" t="s">
        <v>429</v>
      </c>
      <c r="G168" s="9" t="s">
        <v>14</v>
      </c>
      <c r="H168" s="9" t="s">
        <v>19</v>
      </c>
      <c r="I168" s="9">
        <v>63382342</v>
      </c>
      <c r="J168" s="10">
        <v>44881</v>
      </c>
      <c r="K168" s="9" t="s">
        <v>29</v>
      </c>
      <c r="L168" s="10">
        <v>45358</v>
      </c>
      <c r="M168" s="9" t="s">
        <v>45</v>
      </c>
    </row>
    <row r="169" spans="2:13" x14ac:dyDescent="0.25">
      <c r="B169" s="1">
        <v>165</v>
      </c>
      <c r="C169" s="9" t="s">
        <v>430</v>
      </c>
      <c r="D169" s="9" t="s">
        <v>431</v>
      </c>
      <c r="E169" s="9" t="s">
        <v>432</v>
      </c>
      <c r="F169" s="9" t="s">
        <v>433</v>
      </c>
      <c r="G169" s="9" t="s">
        <v>14</v>
      </c>
      <c r="H169" s="9" t="s">
        <v>18</v>
      </c>
      <c r="I169" s="9">
        <v>64736932</v>
      </c>
      <c r="J169" s="10">
        <v>44924</v>
      </c>
      <c r="K169" s="9" t="s">
        <v>29</v>
      </c>
      <c r="L169" s="10">
        <v>45358</v>
      </c>
      <c r="M169" s="9" t="s">
        <v>45</v>
      </c>
    </row>
    <row r="170" spans="2:13" x14ac:dyDescent="0.25">
      <c r="B170" s="1">
        <v>166</v>
      </c>
      <c r="C170" s="9" t="s">
        <v>434</v>
      </c>
      <c r="D170" s="9" t="s">
        <v>435</v>
      </c>
      <c r="E170" s="9" t="s">
        <v>436</v>
      </c>
      <c r="F170" s="9" t="s">
        <v>437</v>
      </c>
      <c r="G170" s="9" t="s">
        <v>14</v>
      </c>
      <c r="H170" s="9" t="s">
        <v>19</v>
      </c>
      <c r="I170" s="9">
        <v>69699163</v>
      </c>
      <c r="J170" s="10">
        <v>45051</v>
      </c>
      <c r="K170" s="9" t="s">
        <v>29</v>
      </c>
      <c r="L170" s="10">
        <v>45358</v>
      </c>
      <c r="M170" s="9" t="s">
        <v>45</v>
      </c>
    </row>
    <row r="171" spans="2:13" x14ac:dyDescent="0.25">
      <c r="B171" s="1">
        <v>167</v>
      </c>
      <c r="C171" s="9" t="s">
        <v>438</v>
      </c>
      <c r="D171" s="9" t="s">
        <v>439</v>
      </c>
      <c r="E171" s="9" t="s">
        <v>440</v>
      </c>
      <c r="F171" s="9" t="s">
        <v>441</v>
      </c>
      <c r="G171" s="9" t="s">
        <v>14</v>
      </c>
      <c r="H171" s="9" t="s">
        <v>19</v>
      </c>
      <c r="I171" s="9">
        <v>60937306</v>
      </c>
      <c r="J171" s="10">
        <v>44792</v>
      </c>
      <c r="K171" s="9" t="s">
        <v>29</v>
      </c>
      <c r="L171" s="10">
        <v>45358</v>
      </c>
      <c r="M171" s="9" t="s">
        <v>45</v>
      </c>
    </row>
    <row r="172" spans="2:13" x14ac:dyDescent="0.25">
      <c r="B172" s="1">
        <v>168</v>
      </c>
      <c r="C172" s="9" t="s">
        <v>442</v>
      </c>
      <c r="D172" s="9" t="s">
        <v>443</v>
      </c>
      <c r="E172" s="9" t="s">
        <v>444</v>
      </c>
      <c r="F172" s="9" t="s">
        <v>445</v>
      </c>
      <c r="G172" s="9" t="s">
        <v>181</v>
      </c>
      <c r="H172" s="9" t="s">
        <v>20</v>
      </c>
      <c r="I172" s="9">
        <v>41727432</v>
      </c>
      <c r="J172" s="10">
        <v>44034</v>
      </c>
      <c r="K172" s="9" t="s">
        <v>446</v>
      </c>
      <c r="L172" s="10">
        <v>45358</v>
      </c>
      <c r="M172" s="9" t="s">
        <v>45</v>
      </c>
    </row>
    <row r="173" spans="2:13" x14ac:dyDescent="0.25">
      <c r="B173" s="1">
        <v>169</v>
      </c>
      <c r="C173" s="9" t="s">
        <v>447</v>
      </c>
      <c r="D173" s="9" t="s">
        <v>448</v>
      </c>
      <c r="E173" s="9" t="s">
        <v>449</v>
      </c>
      <c r="F173" s="9" t="s">
        <v>450</v>
      </c>
      <c r="G173" s="9" t="s">
        <v>14</v>
      </c>
      <c r="H173" s="9" t="s">
        <v>19</v>
      </c>
      <c r="I173" s="9">
        <v>66633433</v>
      </c>
      <c r="J173" s="10">
        <v>44953</v>
      </c>
      <c r="K173" s="9" t="s">
        <v>29</v>
      </c>
      <c r="L173" s="10">
        <v>45358</v>
      </c>
      <c r="M173" s="9" t="s">
        <v>45</v>
      </c>
    </row>
    <row r="174" spans="2:13" x14ac:dyDescent="0.25">
      <c r="B174" s="1">
        <v>170</v>
      </c>
      <c r="C174" s="9" t="s">
        <v>451</v>
      </c>
      <c r="D174" s="9" t="s">
        <v>452</v>
      </c>
      <c r="E174" s="9" t="s">
        <v>453</v>
      </c>
      <c r="F174" s="9" t="s">
        <v>454</v>
      </c>
      <c r="G174" s="9" t="s">
        <v>14</v>
      </c>
      <c r="H174" s="9" t="s">
        <v>22</v>
      </c>
      <c r="I174" s="9">
        <v>61494446</v>
      </c>
      <c r="J174" s="10">
        <v>44811</v>
      </c>
      <c r="K174" s="9" t="s">
        <v>29</v>
      </c>
      <c r="L174" s="10">
        <v>45358</v>
      </c>
      <c r="M174" s="9" t="s">
        <v>45</v>
      </c>
    </row>
    <row r="175" spans="2:13" x14ac:dyDescent="0.25">
      <c r="B175" s="1">
        <v>171</v>
      </c>
      <c r="C175" s="9" t="s">
        <v>455</v>
      </c>
      <c r="D175" s="9" t="s">
        <v>456</v>
      </c>
      <c r="E175" s="9" t="s">
        <v>457</v>
      </c>
      <c r="F175" s="9" t="s">
        <v>458</v>
      </c>
      <c r="G175" s="9" t="s">
        <v>14</v>
      </c>
      <c r="H175" s="9" t="s">
        <v>19</v>
      </c>
      <c r="I175" s="9">
        <v>67306558</v>
      </c>
      <c r="J175" s="10">
        <v>44998</v>
      </c>
      <c r="K175" s="9" t="s">
        <v>29</v>
      </c>
      <c r="L175" s="10">
        <v>45358</v>
      </c>
      <c r="M175" s="9" t="s">
        <v>45</v>
      </c>
    </row>
    <row r="176" spans="2:13" x14ac:dyDescent="0.25">
      <c r="B176" s="1">
        <v>172</v>
      </c>
      <c r="C176" s="9" t="s">
        <v>459</v>
      </c>
      <c r="D176" s="9" t="s">
        <v>460</v>
      </c>
      <c r="E176" s="9" t="s">
        <v>461</v>
      </c>
      <c r="F176" s="9" t="s">
        <v>462</v>
      </c>
      <c r="G176" s="9" t="s">
        <v>14</v>
      </c>
      <c r="H176" s="9" t="s">
        <v>20</v>
      </c>
      <c r="I176" s="9">
        <v>63019638</v>
      </c>
      <c r="J176" s="10">
        <v>44970</v>
      </c>
      <c r="K176" s="9" t="s">
        <v>33</v>
      </c>
      <c r="L176" s="10">
        <v>45358</v>
      </c>
      <c r="M176" s="9" t="s">
        <v>45</v>
      </c>
    </row>
    <row r="177" spans="2:13" x14ac:dyDescent="0.25">
      <c r="B177" s="1">
        <v>173</v>
      </c>
      <c r="C177" s="9" t="s">
        <v>463</v>
      </c>
      <c r="D177" s="9" t="s">
        <v>464</v>
      </c>
      <c r="E177" s="9" t="s">
        <v>465</v>
      </c>
      <c r="F177" s="9" t="s">
        <v>466</v>
      </c>
      <c r="G177" s="9" t="s">
        <v>14</v>
      </c>
      <c r="H177" s="9" t="s">
        <v>18</v>
      </c>
      <c r="I177" s="9">
        <v>66688432</v>
      </c>
      <c r="J177" s="10">
        <v>44971</v>
      </c>
      <c r="K177" s="9" t="s">
        <v>33</v>
      </c>
      <c r="L177" s="10">
        <v>45359</v>
      </c>
      <c r="M177" s="9" t="s">
        <v>45</v>
      </c>
    </row>
    <row r="178" spans="2:13" x14ac:dyDescent="0.25">
      <c r="B178" s="1">
        <v>174</v>
      </c>
      <c r="C178" s="9" t="s">
        <v>467</v>
      </c>
      <c r="D178" s="9" t="s">
        <v>468</v>
      </c>
      <c r="E178" s="9" t="s">
        <v>469</v>
      </c>
      <c r="F178" s="9" t="s">
        <v>470</v>
      </c>
      <c r="G178" s="9" t="s">
        <v>14</v>
      </c>
      <c r="H178" s="9" t="s">
        <v>18</v>
      </c>
      <c r="I178" s="9">
        <v>69206042</v>
      </c>
      <c r="J178" s="10">
        <v>45062</v>
      </c>
      <c r="K178" s="9" t="s">
        <v>34</v>
      </c>
      <c r="L178" s="10">
        <v>45359</v>
      </c>
      <c r="M178" s="9" t="s">
        <v>45</v>
      </c>
    </row>
    <row r="179" spans="2:13" x14ac:dyDescent="0.25">
      <c r="B179" s="1">
        <v>175</v>
      </c>
      <c r="C179" s="9" t="s">
        <v>471</v>
      </c>
      <c r="D179" s="9" t="s">
        <v>472</v>
      </c>
      <c r="E179" s="9" t="s">
        <v>473</v>
      </c>
      <c r="F179" s="9" t="s">
        <v>474</v>
      </c>
      <c r="G179" s="9" t="s">
        <v>14</v>
      </c>
      <c r="H179" s="9" t="s">
        <v>19</v>
      </c>
      <c r="I179" s="9">
        <v>62786901</v>
      </c>
      <c r="J179" s="10">
        <v>44958</v>
      </c>
      <c r="K179" s="9" t="s">
        <v>32</v>
      </c>
      <c r="L179" s="10">
        <v>45362</v>
      </c>
      <c r="M179" s="9" t="s">
        <v>45</v>
      </c>
    </row>
    <row r="180" spans="2:13" x14ac:dyDescent="0.25">
      <c r="B180" s="1">
        <v>176</v>
      </c>
      <c r="C180" s="9" t="s">
        <v>475</v>
      </c>
      <c r="D180" s="9" t="s">
        <v>476</v>
      </c>
      <c r="E180" s="9" t="s">
        <v>477</v>
      </c>
      <c r="F180" s="9" t="s">
        <v>478</v>
      </c>
      <c r="G180" s="9" t="s">
        <v>14</v>
      </c>
      <c r="H180" s="9" t="s">
        <v>19</v>
      </c>
      <c r="I180" s="9">
        <v>64329567</v>
      </c>
      <c r="J180" s="10">
        <v>44922</v>
      </c>
      <c r="K180" s="9" t="s">
        <v>29</v>
      </c>
      <c r="L180" s="10"/>
      <c r="M180" s="9" t="s">
        <v>45</v>
      </c>
    </row>
    <row r="181" spans="2:13" x14ac:dyDescent="0.25">
      <c r="B181" s="1">
        <v>177</v>
      </c>
      <c r="C181" s="9" t="s">
        <v>479</v>
      </c>
      <c r="D181" s="9" t="s">
        <v>480</v>
      </c>
      <c r="E181" s="9" t="s">
        <v>481</v>
      </c>
      <c r="F181" s="9" t="s">
        <v>482</v>
      </c>
      <c r="G181" s="9" t="s">
        <v>14</v>
      </c>
      <c r="H181" s="9" t="s">
        <v>19</v>
      </c>
      <c r="I181" s="9">
        <v>68348278</v>
      </c>
      <c r="J181" s="10">
        <v>45058</v>
      </c>
      <c r="K181" s="9" t="s">
        <v>31</v>
      </c>
      <c r="L181" s="10">
        <v>45362</v>
      </c>
      <c r="M181" s="9" t="s">
        <v>45</v>
      </c>
    </row>
    <row r="182" spans="2:13" x14ac:dyDescent="0.25">
      <c r="B182" s="1">
        <v>178</v>
      </c>
      <c r="C182" s="9" t="s">
        <v>483</v>
      </c>
      <c r="D182" s="9" t="s">
        <v>484</v>
      </c>
      <c r="E182" s="9" t="s">
        <v>485</v>
      </c>
      <c r="F182" s="9" t="s">
        <v>486</v>
      </c>
      <c r="G182" s="9" t="s">
        <v>14</v>
      </c>
      <c r="H182" s="9" t="s">
        <v>19</v>
      </c>
      <c r="I182" s="9">
        <v>64505096</v>
      </c>
      <c r="J182" s="10">
        <v>44894</v>
      </c>
      <c r="K182" s="9" t="s">
        <v>29</v>
      </c>
      <c r="L182" s="10">
        <v>45362</v>
      </c>
      <c r="M182" s="9" t="s">
        <v>45</v>
      </c>
    </row>
    <row r="183" spans="2:13" x14ac:dyDescent="0.25">
      <c r="B183" s="1">
        <v>179</v>
      </c>
      <c r="C183" s="9" t="s">
        <v>487</v>
      </c>
      <c r="D183" s="9" t="s">
        <v>488</v>
      </c>
      <c r="E183" s="9" t="s">
        <v>489</v>
      </c>
      <c r="F183" s="9" t="s">
        <v>490</v>
      </c>
      <c r="G183" s="9" t="s">
        <v>14</v>
      </c>
      <c r="H183" s="9" t="s">
        <v>19</v>
      </c>
      <c r="I183" s="9">
        <v>66967265</v>
      </c>
      <c r="J183" s="10">
        <v>44987</v>
      </c>
      <c r="K183" s="9" t="s">
        <v>33</v>
      </c>
      <c r="L183" s="10">
        <v>45362</v>
      </c>
      <c r="M183" s="9" t="s">
        <v>45</v>
      </c>
    </row>
    <row r="184" spans="2:13" x14ac:dyDescent="0.25">
      <c r="B184" s="1">
        <v>180</v>
      </c>
      <c r="C184" s="9" t="s">
        <v>491</v>
      </c>
      <c r="D184" s="9" t="s">
        <v>492</v>
      </c>
      <c r="E184" s="9" t="s">
        <v>493</v>
      </c>
      <c r="F184" s="9" t="s">
        <v>494</v>
      </c>
      <c r="G184" s="9" t="s">
        <v>14</v>
      </c>
      <c r="H184" s="9" t="s">
        <v>22</v>
      </c>
      <c r="I184" s="9">
        <v>60981490</v>
      </c>
      <c r="J184" s="10">
        <v>44796</v>
      </c>
      <c r="K184" s="9" t="s">
        <v>29</v>
      </c>
      <c r="L184" s="10">
        <v>45363</v>
      </c>
      <c r="M184" s="9" t="s">
        <v>45</v>
      </c>
    </row>
    <row r="185" spans="2:13" x14ac:dyDescent="0.25">
      <c r="B185" s="1">
        <v>181</v>
      </c>
      <c r="C185" s="9" t="s">
        <v>495</v>
      </c>
      <c r="D185" s="9" t="s">
        <v>496</v>
      </c>
      <c r="E185" s="9" t="s">
        <v>497</v>
      </c>
      <c r="F185" s="9" t="s">
        <v>498</v>
      </c>
      <c r="G185" s="9" t="s">
        <v>14</v>
      </c>
      <c r="H185" s="9" t="s">
        <v>22</v>
      </c>
      <c r="I185" s="9">
        <v>65512720</v>
      </c>
      <c r="J185" s="10">
        <v>45014</v>
      </c>
      <c r="K185" s="9" t="s">
        <v>36</v>
      </c>
      <c r="L185" s="10">
        <v>45363</v>
      </c>
      <c r="M185" s="9" t="s">
        <v>45</v>
      </c>
    </row>
    <row r="186" spans="2:13" x14ac:dyDescent="0.25">
      <c r="B186" s="1">
        <v>182</v>
      </c>
      <c r="C186" s="9" t="s">
        <v>499</v>
      </c>
      <c r="D186" s="9" t="s">
        <v>500</v>
      </c>
      <c r="E186" s="9" t="s">
        <v>501</v>
      </c>
      <c r="F186" s="9" t="s">
        <v>502</v>
      </c>
      <c r="G186" s="9" t="s">
        <v>14</v>
      </c>
      <c r="H186" s="9" t="s">
        <v>19</v>
      </c>
      <c r="I186" s="9">
        <v>64420339</v>
      </c>
      <c r="J186" s="10">
        <v>44867</v>
      </c>
      <c r="K186" s="9" t="s">
        <v>29</v>
      </c>
      <c r="L186" s="10">
        <v>45363</v>
      </c>
      <c r="M186" s="9" t="s">
        <v>45</v>
      </c>
    </row>
    <row r="187" spans="2:13" x14ac:dyDescent="0.25">
      <c r="B187" s="1">
        <v>183</v>
      </c>
      <c r="C187" s="9" t="s">
        <v>503</v>
      </c>
      <c r="D187" s="9" t="s">
        <v>504</v>
      </c>
      <c r="E187" s="9" t="s">
        <v>505</v>
      </c>
      <c r="F187" s="9" t="s">
        <v>506</v>
      </c>
      <c r="G187" s="9" t="s">
        <v>14</v>
      </c>
      <c r="H187" s="9" t="s">
        <v>19</v>
      </c>
      <c r="I187" s="9">
        <v>65676976</v>
      </c>
      <c r="J187" s="10">
        <v>44910</v>
      </c>
      <c r="K187" s="9" t="s">
        <v>29</v>
      </c>
      <c r="L187" s="10">
        <v>45363</v>
      </c>
      <c r="M187" s="9" t="s">
        <v>45</v>
      </c>
    </row>
    <row r="188" spans="2:13" x14ac:dyDescent="0.25">
      <c r="B188" s="1">
        <v>184</v>
      </c>
      <c r="C188" s="9" t="s">
        <v>507</v>
      </c>
      <c r="D188" s="9" t="s">
        <v>508</v>
      </c>
      <c r="E188" s="9"/>
      <c r="F188" s="9"/>
      <c r="G188" s="9" t="s">
        <v>14</v>
      </c>
      <c r="H188" s="9" t="s">
        <v>18</v>
      </c>
      <c r="I188" s="9">
        <v>47292510</v>
      </c>
      <c r="J188" s="10">
        <v>44271</v>
      </c>
      <c r="K188" s="9" t="s">
        <v>57</v>
      </c>
      <c r="L188" s="10">
        <v>45364</v>
      </c>
      <c r="M188" s="9" t="s">
        <v>45</v>
      </c>
    </row>
    <row r="189" spans="2:13" x14ac:dyDescent="0.25">
      <c r="B189" s="1">
        <v>185</v>
      </c>
      <c r="C189" s="9" t="s">
        <v>509</v>
      </c>
      <c r="D189" s="9" t="s">
        <v>510</v>
      </c>
      <c r="E189" s="9" t="s">
        <v>511</v>
      </c>
      <c r="F189" s="9" t="s">
        <v>512</v>
      </c>
      <c r="G189" s="9" t="s">
        <v>521</v>
      </c>
      <c r="H189" s="9" t="s">
        <v>23</v>
      </c>
      <c r="I189" s="9">
        <v>47378538</v>
      </c>
      <c r="J189" s="10">
        <v>44238</v>
      </c>
      <c r="K189" s="9" t="s">
        <v>31</v>
      </c>
      <c r="L189" s="10">
        <v>45364</v>
      </c>
      <c r="M189" s="9" t="s">
        <v>45</v>
      </c>
    </row>
    <row r="190" spans="2:13" x14ac:dyDescent="0.25">
      <c r="B190" s="1">
        <v>186</v>
      </c>
      <c r="C190" s="9" t="s">
        <v>514</v>
      </c>
      <c r="D190" s="9" t="s">
        <v>513</v>
      </c>
      <c r="E190" s="9" t="s">
        <v>515</v>
      </c>
      <c r="F190" s="9" t="s">
        <v>516</v>
      </c>
      <c r="G190" s="9" t="s">
        <v>14</v>
      </c>
      <c r="H190" s="9" t="s">
        <v>22</v>
      </c>
      <c r="I190" s="9">
        <v>66677792</v>
      </c>
      <c r="J190" s="10">
        <v>44972</v>
      </c>
      <c r="K190" s="9" t="s">
        <v>29</v>
      </c>
      <c r="L190" s="10">
        <v>45364</v>
      </c>
      <c r="M190" s="9" t="s">
        <v>45</v>
      </c>
    </row>
    <row r="191" spans="2:13" x14ac:dyDescent="0.25">
      <c r="B191" s="1">
        <v>187</v>
      </c>
      <c r="C191" s="9" t="s">
        <v>517</v>
      </c>
      <c r="D191" s="9" t="s">
        <v>518</v>
      </c>
      <c r="E191" s="9"/>
      <c r="F191" s="9"/>
      <c r="G191" s="9" t="s">
        <v>14</v>
      </c>
      <c r="H191" s="9" t="s">
        <v>19</v>
      </c>
      <c r="I191" s="9">
        <v>65081464</v>
      </c>
      <c r="J191" s="10">
        <v>44939</v>
      </c>
      <c r="K191" s="9" t="s">
        <v>29</v>
      </c>
      <c r="L191" s="10">
        <v>45363</v>
      </c>
      <c r="M191" s="9" t="s">
        <v>45</v>
      </c>
    </row>
    <row r="192" spans="2:13" x14ac:dyDescent="0.25">
      <c r="B192" s="1">
        <v>188</v>
      </c>
      <c r="C192" s="9" t="s">
        <v>519</v>
      </c>
      <c r="D192" s="9" t="s">
        <v>520</v>
      </c>
      <c r="E192" s="9"/>
      <c r="F192" s="9"/>
      <c r="G192" s="9" t="s">
        <v>14</v>
      </c>
      <c r="H192" s="9" t="s">
        <v>19</v>
      </c>
      <c r="I192" s="9">
        <v>66497268</v>
      </c>
      <c r="J192" s="10">
        <v>44925</v>
      </c>
      <c r="K192" s="9" t="s">
        <v>29</v>
      </c>
      <c r="L192" s="10">
        <v>45363</v>
      </c>
      <c r="M192" s="9" t="s">
        <v>45</v>
      </c>
    </row>
    <row r="193" spans="2:13" x14ac:dyDescent="0.25">
      <c r="B193" s="1">
        <v>189</v>
      </c>
      <c r="C193" s="9" t="s">
        <v>522</v>
      </c>
      <c r="D193" s="9" t="s">
        <v>523</v>
      </c>
      <c r="E193" s="9" t="s">
        <v>524</v>
      </c>
      <c r="F193" s="9" t="s">
        <v>525</v>
      </c>
      <c r="G193" s="9" t="s">
        <v>14</v>
      </c>
      <c r="H193" s="9" t="s">
        <v>19</v>
      </c>
      <c r="I193" s="9">
        <v>65369927</v>
      </c>
      <c r="J193" s="10">
        <v>44908</v>
      </c>
      <c r="K193" s="9" t="s">
        <v>29</v>
      </c>
      <c r="L193" s="10">
        <v>45365</v>
      </c>
      <c r="M193" s="9" t="s">
        <v>45</v>
      </c>
    </row>
    <row r="194" spans="2:13" x14ac:dyDescent="0.25">
      <c r="B194" s="1">
        <v>190</v>
      </c>
      <c r="C194" s="9" t="s">
        <v>526</v>
      </c>
      <c r="D194" s="9" t="s">
        <v>527</v>
      </c>
      <c r="E194" s="9" t="s">
        <v>528</v>
      </c>
      <c r="F194" s="9" t="s">
        <v>529</v>
      </c>
      <c r="G194" s="9" t="s">
        <v>14</v>
      </c>
      <c r="H194" s="9" t="s">
        <v>19</v>
      </c>
      <c r="I194" s="9">
        <v>66867817</v>
      </c>
      <c r="J194" s="10">
        <v>44980</v>
      </c>
      <c r="K194" s="9" t="s">
        <v>29</v>
      </c>
      <c r="L194" s="10">
        <v>45366</v>
      </c>
      <c r="M194" s="9" t="s">
        <v>45</v>
      </c>
    </row>
    <row r="195" spans="2:13" x14ac:dyDescent="0.25">
      <c r="B195" s="1">
        <v>191</v>
      </c>
      <c r="C195" s="9" t="s">
        <v>530</v>
      </c>
      <c r="D195" s="9" t="s">
        <v>531</v>
      </c>
      <c r="E195" s="9" t="s">
        <v>532</v>
      </c>
      <c r="F195" s="9" t="s">
        <v>533</v>
      </c>
      <c r="G195" s="9" t="s">
        <v>14</v>
      </c>
      <c r="H195" s="9" t="s">
        <v>19</v>
      </c>
      <c r="I195" s="9">
        <v>59711000</v>
      </c>
      <c r="J195" s="10">
        <v>44848</v>
      </c>
      <c r="K195" s="9" t="s">
        <v>29</v>
      </c>
      <c r="L195" s="10">
        <v>45366</v>
      </c>
      <c r="M195" s="9" t="s">
        <v>45</v>
      </c>
    </row>
    <row r="196" spans="2:13" x14ac:dyDescent="0.25">
      <c r="B196" s="1">
        <v>192</v>
      </c>
      <c r="C196" s="9" t="s">
        <v>534</v>
      </c>
      <c r="D196" s="9" t="s">
        <v>535</v>
      </c>
      <c r="E196" s="9" t="s">
        <v>536</v>
      </c>
      <c r="F196" s="9" t="s">
        <v>537</v>
      </c>
      <c r="G196" s="9" t="s">
        <v>14</v>
      </c>
      <c r="H196" s="9" t="s">
        <v>18</v>
      </c>
      <c r="I196" s="9">
        <v>61875553</v>
      </c>
      <c r="J196" s="10">
        <v>44837</v>
      </c>
      <c r="K196" s="9" t="s">
        <v>29</v>
      </c>
      <c r="L196" s="10">
        <v>45366</v>
      </c>
      <c r="M196" s="9" t="s">
        <v>45</v>
      </c>
    </row>
    <row r="197" spans="2:13" x14ac:dyDescent="0.25">
      <c r="B197" s="1">
        <v>193</v>
      </c>
      <c r="C197" s="9" t="s">
        <v>538</v>
      </c>
      <c r="D197" s="9" t="s">
        <v>539</v>
      </c>
      <c r="E197" s="9" t="s">
        <v>540</v>
      </c>
      <c r="F197" s="9" t="s">
        <v>541</v>
      </c>
      <c r="G197" s="9" t="s">
        <v>14</v>
      </c>
      <c r="H197" s="9" t="s">
        <v>20</v>
      </c>
      <c r="I197" s="9">
        <v>62785388</v>
      </c>
      <c r="J197" s="10">
        <v>45012</v>
      </c>
      <c r="K197" s="9" t="s">
        <v>29</v>
      </c>
      <c r="L197" s="10">
        <v>45369</v>
      </c>
      <c r="M197" s="9" t="s">
        <v>45</v>
      </c>
    </row>
    <row r="198" spans="2:13" x14ac:dyDescent="0.25">
      <c r="B198" s="1">
        <v>194</v>
      </c>
      <c r="C198" s="9" t="s">
        <v>542</v>
      </c>
      <c r="D198" s="9" t="s">
        <v>543</v>
      </c>
      <c r="E198" s="9" t="s">
        <v>544</v>
      </c>
      <c r="F198" s="9" t="s">
        <v>545</v>
      </c>
      <c r="G198" s="9" t="s">
        <v>14</v>
      </c>
      <c r="H198" s="9" t="s">
        <v>19</v>
      </c>
      <c r="I198" s="9">
        <v>60515049</v>
      </c>
      <c r="J198" s="10">
        <v>44776</v>
      </c>
      <c r="K198" s="9" t="s">
        <v>29</v>
      </c>
      <c r="L198" s="10">
        <v>45369</v>
      </c>
      <c r="M198" s="9" t="s">
        <v>45</v>
      </c>
    </row>
    <row r="199" spans="2:13" x14ac:dyDescent="0.25">
      <c r="B199" s="1">
        <v>195</v>
      </c>
      <c r="C199" s="9" t="s">
        <v>546</v>
      </c>
      <c r="D199" s="9" t="s">
        <v>547</v>
      </c>
      <c r="E199" s="9" t="s">
        <v>548</v>
      </c>
      <c r="F199" s="9" t="s">
        <v>549</v>
      </c>
      <c r="G199" s="9" t="s">
        <v>14</v>
      </c>
      <c r="H199" s="9" t="s">
        <v>18</v>
      </c>
      <c r="I199" s="9">
        <v>66691127</v>
      </c>
      <c r="J199" s="10">
        <v>45000</v>
      </c>
      <c r="K199" s="9" t="s">
        <v>29</v>
      </c>
      <c r="L199" s="10">
        <v>45369</v>
      </c>
      <c r="M199" s="9" t="s">
        <v>45</v>
      </c>
    </row>
    <row r="200" spans="2:13" x14ac:dyDescent="0.25">
      <c r="B200" s="1">
        <v>196</v>
      </c>
      <c r="C200" s="9" t="s">
        <v>553</v>
      </c>
      <c r="D200" s="9" t="s">
        <v>552</v>
      </c>
      <c r="E200" s="9" t="s">
        <v>551</v>
      </c>
      <c r="F200" s="9" t="s">
        <v>550</v>
      </c>
      <c r="G200" s="9" t="s">
        <v>14</v>
      </c>
      <c r="H200" s="9" t="s">
        <v>19</v>
      </c>
      <c r="I200" s="9">
        <v>68569841</v>
      </c>
      <c r="J200" s="10">
        <v>45036</v>
      </c>
      <c r="K200" s="9" t="s">
        <v>29</v>
      </c>
      <c r="L200" s="10">
        <v>45369</v>
      </c>
      <c r="M200" s="9" t="s">
        <v>45</v>
      </c>
    </row>
    <row r="201" spans="2:13" x14ac:dyDescent="0.25">
      <c r="B201" s="1">
        <v>197</v>
      </c>
      <c r="C201" s="9" t="s">
        <v>554</v>
      </c>
      <c r="D201" s="9" t="s">
        <v>555</v>
      </c>
      <c r="E201" s="9" t="s">
        <v>556</v>
      </c>
      <c r="F201" s="9" t="s">
        <v>557</v>
      </c>
      <c r="G201" s="9" t="s">
        <v>14</v>
      </c>
      <c r="H201" s="9" t="s">
        <v>19</v>
      </c>
      <c r="I201" s="9">
        <v>62569780</v>
      </c>
      <c r="J201" s="10">
        <v>44847</v>
      </c>
      <c r="K201" s="9" t="s">
        <v>29</v>
      </c>
      <c r="L201" s="10">
        <v>45369</v>
      </c>
      <c r="M201" s="9" t="s">
        <v>45</v>
      </c>
    </row>
    <row r="202" spans="2:13" x14ac:dyDescent="0.25">
      <c r="B202" s="1">
        <v>198</v>
      </c>
      <c r="C202" s="9" t="s">
        <v>558</v>
      </c>
      <c r="D202" s="9" t="s">
        <v>560</v>
      </c>
      <c r="E202" s="9" t="s">
        <v>559</v>
      </c>
      <c r="F202" s="9" t="s">
        <v>561</v>
      </c>
      <c r="G202" s="9" t="s">
        <v>14</v>
      </c>
      <c r="H202" s="9" t="s">
        <v>19</v>
      </c>
      <c r="I202" s="9">
        <v>60104067</v>
      </c>
      <c r="J202" s="10">
        <v>44762</v>
      </c>
      <c r="K202" s="9" t="s">
        <v>29</v>
      </c>
      <c r="L202" s="10">
        <v>45369</v>
      </c>
      <c r="M202" s="9" t="s">
        <v>45</v>
      </c>
    </row>
    <row r="203" spans="2:13" x14ac:dyDescent="0.25">
      <c r="B203" s="1">
        <v>199</v>
      </c>
      <c r="C203" s="9" t="s">
        <v>562</v>
      </c>
      <c r="D203" s="9" t="s">
        <v>563</v>
      </c>
      <c r="E203" s="9" t="s">
        <v>564</v>
      </c>
      <c r="F203" s="9" t="s">
        <v>565</v>
      </c>
      <c r="G203" s="9" t="s">
        <v>14</v>
      </c>
      <c r="H203" s="9" t="s">
        <v>19</v>
      </c>
      <c r="I203" s="9">
        <v>68242635</v>
      </c>
      <c r="J203" s="10">
        <v>45034</v>
      </c>
      <c r="K203" s="9" t="s">
        <v>29</v>
      </c>
      <c r="L203" s="10">
        <v>45369</v>
      </c>
      <c r="M203" s="9" t="s">
        <v>45</v>
      </c>
    </row>
    <row r="204" spans="2:13" x14ac:dyDescent="0.25">
      <c r="B204" s="1">
        <v>200</v>
      </c>
      <c r="C204" s="9" t="s">
        <v>566</v>
      </c>
      <c r="D204" s="9" t="s">
        <v>567</v>
      </c>
      <c r="E204" s="9" t="s">
        <v>568</v>
      </c>
      <c r="F204" s="9" t="s">
        <v>569</v>
      </c>
      <c r="G204" s="9" t="s">
        <v>14</v>
      </c>
      <c r="H204" s="9" t="s">
        <v>22</v>
      </c>
      <c r="I204" s="9">
        <v>60884708</v>
      </c>
      <c r="J204" s="10">
        <v>44790</v>
      </c>
      <c r="K204" s="9" t="s">
        <v>29</v>
      </c>
      <c r="L204" s="10">
        <v>45370</v>
      </c>
      <c r="M204" s="9" t="s">
        <v>45</v>
      </c>
    </row>
    <row r="205" spans="2:13" x14ac:dyDescent="0.25">
      <c r="B205" s="1">
        <v>201</v>
      </c>
      <c r="C205" s="9" t="s">
        <v>571</v>
      </c>
      <c r="D205" s="9" t="s">
        <v>570</v>
      </c>
      <c r="E205" s="9" t="s">
        <v>572</v>
      </c>
      <c r="F205" s="9" t="s">
        <v>573</v>
      </c>
      <c r="G205" s="9" t="s">
        <v>14</v>
      </c>
      <c r="H205" s="9" t="s">
        <v>19</v>
      </c>
      <c r="I205" s="9">
        <v>64555270</v>
      </c>
      <c r="J205" s="10">
        <v>44994</v>
      </c>
      <c r="K205" s="9" t="s">
        <v>29</v>
      </c>
      <c r="L205" s="10">
        <v>45370</v>
      </c>
      <c r="M205" s="9" t="s">
        <v>45</v>
      </c>
    </row>
    <row r="206" spans="2:13" x14ac:dyDescent="0.25">
      <c r="B206" s="1">
        <v>202</v>
      </c>
      <c r="C206" s="9" t="s">
        <v>574</v>
      </c>
      <c r="D206" s="9" t="s">
        <v>575</v>
      </c>
      <c r="E206" s="9" t="s">
        <v>576</v>
      </c>
      <c r="F206" s="9" t="s">
        <v>577</v>
      </c>
      <c r="G206" s="9" t="s">
        <v>14</v>
      </c>
      <c r="H206" s="9" t="s">
        <v>19</v>
      </c>
      <c r="I206" s="9">
        <v>65522658</v>
      </c>
      <c r="J206" s="10">
        <v>44911</v>
      </c>
      <c r="K206" s="9" t="s">
        <v>235</v>
      </c>
      <c r="L206" s="10">
        <v>45371</v>
      </c>
      <c r="M206" s="9" t="s">
        <v>45</v>
      </c>
    </row>
    <row r="207" spans="2:13" x14ac:dyDescent="0.25">
      <c r="B207" s="1">
        <v>203</v>
      </c>
      <c r="C207" s="9" t="s">
        <v>578</v>
      </c>
      <c r="D207" s="9" t="s">
        <v>579</v>
      </c>
      <c r="E207" s="9" t="s">
        <v>580</v>
      </c>
      <c r="F207" s="9" t="s">
        <v>581</v>
      </c>
      <c r="G207" s="9" t="s">
        <v>14</v>
      </c>
      <c r="H207" s="9" t="s">
        <v>19</v>
      </c>
      <c r="I207" s="9">
        <v>66549381</v>
      </c>
      <c r="J207" s="10">
        <v>44950</v>
      </c>
      <c r="K207" s="9" t="s">
        <v>29</v>
      </c>
      <c r="L207" s="10">
        <v>45372</v>
      </c>
      <c r="M207" s="9" t="s">
        <v>45</v>
      </c>
    </row>
    <row r="208" spans="2:13" x14ac:dyDescent="0.25">
      <c r="B208" s="1">
        <v>204</v>
      </c>
      <c r="C208" s="9" t="s">
        <v>582</v>
      </c>
      <c r="D208" s="9" t="s">
        <v>583</v>
      </c>
      <c r="E208" s="9" t="s">
        <v>584</v>
      </c>
      <c r="F208" s="9" t="s">
        <v>585</v>
      </c>
      <c r="G208" s="9" t="s">
        <v>14</v>
      </c>
      <c r="H208" s="9" t="s">
        <v>18</v>
      </c>
      <c r="I208" s="9">
        <v>66037746</v>
      </c>
      <c r="J208" s="10">
        <v>44937</v>
      </c>
      <c r="K208" s="9" t="s">
        <v>29</v>
      </c>
      <c r="L208" s="10">
        <v>45372</v>
      </c>
      <c r="M208" s="9" t="s">
        <v>45</v>
      </c>
    </row>
    <row r="209" spans="2:13" x14ac:dyDescent="0.25">
      <c r="B209" s="1">
        <v>205</v>
      </c>
      <c r="C209" s="9" t="s">
        <v>586</v>
      </c>
      <c r="D209" s="9" t="s">
        <v>587</v>
      </c>
      <c r="E209" s="9" t="s">
        <v>588</v>
      </c>
      <c r="F209" s="9" t="s">
        <v>589</v>
      </c>
      <c r="G209" s="9" t="s">
        <v>15</v>
      </c>
      <c r="H209" s="9" t="s">
        <v>22</v>
      </c>
      <c r="I209" s="9">
        <v>4234086</v>
      </c>
      <c r="J209" s="10">
        <v>42417</v>
      </c>
      <c r="K209" s="9" t="s">
        <v>590</v>
      </c>
      <c r="L209" s="10">
        <v>45372</v>
      </c>
      <c r="M209" s="9" t="s">
        <v>45</v>
      </c>
    </row>
    <row r="210" spans="2:13" x14ac:dyDescent="0.25">
      <c r="B210" s="1">
        <v>206</v>
      </c>
      <c r="C210" s="9" t="s">
        <v>591</v>
      </c>
      <c r="D210" s="9" t="s">
        <v>592</v>
      </c>
      <c r="E210" s="9" t="s">
        <v>593</v>
      </c>
      <c r="F210" s="9" t="s">
        <v>594</v>
      </c>
      <c r="G210" s="9" t="s">
        <v>14</v>
      </c>
      <c r="H210" s="9" t="s">
        <v>19</v>
      </c>
      <c r="I210" s="9">
        <v>64633504</v>
      </c>
      <c r="J210" s="10">
        <v>44902</v>
      </c>
      <c r="K210" s="9" t="s">
        <v>29</v>
      </c>
      <c r="L210" s="10">
        <v>45372</v>
      </c>
      <c r="M210" s="9" t="s">
        <v>45</v>
      </c>
    </row>
    <row r="211" spans="2:13" x14ac:dyDescent="0.25">
      <c r="B211" s="1">
        <v>207</v>
      </c>
      <c r="C211" s="9" t="s">
        <v>595</v>
      </c>
      <c r="D211" s="9" t="s">
        <v>596</v>
      </c>
      <c r="E211" s="9" t="s">
        <v>597</v>
      </c>
      <c r="F211" s="9" t="s">
        <v>598</v>
      </c>
      <c r="G211" s="9" t="s">
        <v>14</v>
      </c>
      <c r="H211" s="9" t="s">
        <v>18</v>
      </c>
      <c r="I211" s="9">
        <v>66069162</v>
      </c>
      <c r="J211" s="10">
        <v>44909</v>
      </c>
      <c r="K211" s="9" t="s">
        <v>29</v>
      </c>
      <c r="L211" s="10">
        <v>45373</v>
      </c>
      <c r="M211" s="9" t="s">
        <v>45</v>
      </c>
    </row>
    <row r="212" spans="2:13" x14ac:dyDescent="0.25">
      <c r="B212" s="1">
        <v>208</v>
      </c>
      <c r="C212" s="9" t="s">
        <v>599</v>
      </c>
      <c r="D212" s="9" t="s">
        <v>600</v>
      </c>
      <c r="E212" s="9" t="s">
        <v>601</v>
      </c>
      <c r="F212" s="9" t="s">
        <v>602</v>
      </c>
      <c r="G212" s="9" t="s">
        <v>14</v>
      </c>
      <c r="H212" s="9" t="s">
        <v>19</v>
      </c>
      <c r="I212" s="9">
        <v>61795936</v>
      </c>
      <c r="J212" s="10">
        <v>44824</v>
      </c>
      <c r="K212" s="9" t="s">
        <v>29</v>
      </c>
      <c r="L212" s="10">
        <v>45373</v>
      </c>
      <c r="M212" s="9" t="s">
        <v>45</v>
      </c>
    </row>
    <row r="213" spans="2:13" x14ac:dyDescent="0.25">
      <c r="B213" s="1">
        <v>209</v>
      </c>
      <c r="C213" s="9" t="s">
        <v>603</v>
      </c>
      <c r="D213" s="9" t="s">
        <v>605</v>
      </c>
      <c r="E213" s="9" t="s">
        <v>606</v>
      </c>
      <c r="F213" s="9" t="s">
        <v>604</v>
      </c>
      <c r="G213" s="9" t="s">
        <v>14</v>
      </c>
      <c r="H213" s="9" t="s">
        <v>19</v>
      </c>
      <c r="I213" s="9">
        <v>57087158</v>
      </c>
      <c r="J213" s="10">
        <v>44803</v>
      </c>
      <c r="K213" s="9" t="s">
        <v>32</v>
      </c>
      <c r="L213" s="10">
        <v>45373</v>
      </c>
      <c r="M213" s="9" t="s">
        <v>45</v>
      </c>
    </row>
    <row r="214" spans="2:13" x14ac:dyDescent="0.25">
      <c r="B214" s="1">
        <v>210</v>
      </c>
      <c r="C214" s="9" t="s">
        <v>607</v>
      </c>
      <c r="D214" s="9" t="s">
        <v>608</v>
      </c>
      <c r="E214" s="9" t="s">
        <v>609</v>
      </c>
      <c r="F214" s="9" t="s">
        <v>610</v>
      </c>
      <c r="G214" s="9" t="s">
        <v>14</v>
      </c>
      <c r="H214" s="9" t="s">
        <v>19</v>
      </c>
      <c r="I214" s="9">
        <v>60923178</v>
      </c>
      <c r="J214" s="10">
        <v>44855</v>
      </c>
      <c r="K214" s="9" t="s">
        <v>29</v>
      </c>
      <c r="L214" s="10">
        <v>45376</v>
      </c>
      <c r="M214" s="9" t="s">
        <v>45</v>
      </c>
    </row>
    <row r="215" spans="2:13" x14ac:dyDescent="0.25">
      <c r="B215" s="1">
        <v>211</v>
      </c>
      <c r="C215" s="9" t="s">
        <v>611</v>
      </c>
      <c r="D215" s="9" t="s">
        <v>612</v>
      </c>
      <c r="E215" s="9" t="s">
        <v>613</v>
      </c>
      <c r="F215" s="9" t="s">
        <v>614</v>
      </c>
      <c r="G215" s="9" t="s">
        <v>14</v>
      </c>
      <c r="H215" s="9" t="s">
        <v>19</v>
      </c>
      <c r="I215" s="9">
        <v>66986851</v>
      </c>
      <c r="J215" s="10">
        <v>44987</v>
      </c>
      <c r="K215" s="9" t="s">
        <v>29</v>
      </c>
      <c r="L215" s="10">
        <v>45377</v>
      </c>
      <c r="M215" s="9" t="s">
        <v>45</v>
      </c>
    </row>
    <row r="216" spans="2:13" x14ac:dyDescent="0.25">
      <c r="B216" s="1">
        <v>212</v>
      </c>
      <c r="C216" s="9" t="s">
        <v>615</v>
      </c>
      <c r="D216" s="9" t="s">
        <v>616</v>
      </c>
      <c r="E216" s="9" t="s">
        <v>618</v>
      </c>
      <c r="F216" s="9" t="s">
        <v>617</v>
      </c>
      <c r="G216" s="9" t="s">
        <v>14</v>
      </c>
      <c r="H216" s="9" t="s">
        <v>19</v>
      </c>
      <c r="I216" s="9">
        <v>61712471</v>
      </c>
      <c r="J216" s="10">
        <v>44819</v>
      </c>
      <c r="K216" s="9" t="s">
        <v>29</v>
      </c>
      <c r="L216" s="10">
        <v>45378</v>
      </c>
      <c r="M216" s="9" t="s">
        <v>45</v>
      </c>
    </row>
    <row r="217" spans="2:13" x14ac:dyDescent="0.25">
      <c r="B217" s="1">
        <v>213</v>
      </c>
      <c r="C217" s="9" t="s">
        <v>619</v>
      </c>
      <c r="D217" s="9" t="s">
        <v>620</v>
      </c>
      <c r="E217" s="9" t="s">
        <v>621</v>
      </c>
      <c r="F217" s="9" t="s">
        <v>622</v>
      </c>
      <c r="G217" s="9" t="s">
        <v>14</v>
      </c>
      <c r="H217" s="9" t="s">
        <v>19</v>
      </c>
      <c r="I217" s="9">
        <v>67024949</v>
      </c>
      <c r="J217" s="10">
        <v>44988</v>
      </c>
      <c r="K217" s="9" t="s">
        <v>29</v>
      </c>
      <c r="L217" s="10">
        <v>45378</v>
      </c>
      <c r="M217" s="9" t="s">
        <v>45</v>
      </c>
    </row>
    <row r="218" spans="2:13" x14ac:dyDescent="0.25">
      <c r="B218" s="1">
        <v>214</v>
      </c>
      <c r="C218" s="9" t="s">
        <v>623</v>
      </c>
      <c r="D218" s="9" t="s">
        <v>624</v>
      </c>
      <c r="E218" s="9" t="s">
        <v>625</v>
      </c>
      <c r="F218" s="9" t="s">
        <v>626</v>
      </c>
      <c r="G218" s="9" t="s">
        <v>14</v>
      </c>
      <c r="H218" s="9" t="s">
        <v>18</v>
      </c>
      <c r="I218" s="9">
        <v>66696052</v>
      </c>
      <c r="J218" s="10">
        <v>45001</v>
      </c>
      <c r="K218" s="9" t="s">
        <v>34</v>
      </c>
      <c r="L218" s="10">
        <v>45379</v>
      </c>
      <c r="M218" s="9" t="s">
        <v>45</v>
      </c>
    </row>
    <row r="219" spans="2:13" x14ac:dyDescent="0.25">
      <c r="B219" s="1">
        <v>215</v>
      </c>
      <c r="C219" s="9" t="s">
        <v>627</v>
      </c>
      <c r="D219" s="9" t="s">
        <v>628</v>
      </c>
      <c r="E219" s="9" t="s">
        <v>629</v>
      </c>
      <c r="F219" s="9" t="s">
        <v>630</v>
      </c>
      <c r="G219" s="9" t="s">
        <v>14</v>
      </c>
      <c r="H219" s="9" t="s">
        <v>18</v>
      </c>
      <c r="I219" s="9">
        <v>63254617</v>
      </c>
      <c r="J219" s="10">
        <v>44874</v>
      </c>
      <c r="K219" s="9" t="s">
        <v>29</v>
      </c>
      <c r="L219" s="10">
        <v>45379</v>
      </c>
      <c r="M219" s="9" t="s">
        <v>45</v>
      </c>
    </row>
    <row r="220" spans="2:13" x14ac:dyDescent="0.25">
      <c r="B220" s="1">
        <v>216</v>
      </c>
      <c r="C220" s="9" t="s">
        <v>631</v>
      </c>
      <c r="D220" s="9" t="s">
        <v>632</v>
      </c>
      <c r="E220" s="9" t="s">
        <v>633</v>
      </c>
      <c r="F220" s="9" t="s">
        <v>634</v>
      </c>
      <c r="G220" s="9" t="s">
        <v>14</v>
      </c>
      <c r="H220" s="9" t="s">
        <v>19</v>
      </c>
      <c r="I220" s="9">
        <v>66857130</v>
      </c>
      <c r="J220" s="10">
        <v>44981</v>
      </c>
      <c r="K220" s="9" t="s">
        <v>29</v>
      </c>
      <c r="L220" s="10">
        <v>45379</v>
      </c>
      <c r="M220" s="9" t="s">
        <v>45</v>
      </c>
    </row>
    <row r="221" spans="2:13" x14ac:dyDescent="0.25">
      <c r="B221" s="1">
        <v>217</v>
      </c>
      <c r="C221" s="9" t="s">
        <v>635</v>
      </c>
      <c r="D221" s="9" t="s">
        <v>636</v>
      </c>
      <c r="E221" s="9" t="s">
        <v>637</v>
      </c>
      <c r="F221" s="9" t="s">
        <v>638</v>
      </c>
      <c r="G221" s="9" t="s">
        <v>14</v>
      </c>
      <c r="H221" s="9" t="s">
        <v>19</v>
      </c>
      <c r="I221" s="9">
        <v>60851804</v>
      </c>
      <c r="J221" s="10">
        <v>44789</v>
      </c>
      <c r="K221" s="9" t="s">
        <v>29</v>
      </c>
      <c r="L221" s="10">
        <v>45379</v>
      </c>
      <c r="M221" s="9" t="s">
        <v>45</v>
      </c>
    </row>
    <row r="222" spans="2:13" x14ac:dyDescent="0.25">
      <c r="B222" s="1">
        <v>218</v>
      </c>
      <c r="C222" s="9" t="s">
        <v>639</v>
      </c>
      <c r="D222" s="9" t="s">
        <v>640</v>
      </c>
      <c r="E222" s="9" t="s">
        <v>641</v>
      </c>
      <c r="F222" s="9" t="s">
        <v>642</v>
      </c>
      <c r="G222" s="9" t="s">
        <v>14</v>
      </c>
      <c r="H222" s="9" t="s">
        <v>19</v>
      </c>
      <c r="I222" s="9">
        <v>61394025</v>
      </c>
      <c r="J222" s="10">
        <v>44810</v>
      </c>
      <c r="K222" s="9" t="s">
        <v>29</v>
      </c>
      <c r="L222" s="10">
        <v>45383</v>
      </c>
      <c r="M222" s="9" t="s">
        <v>45</v>
      </c>
    </row>
    <row r="223" spans="2:13" x14ac:dyDescent="0.25">
      <c r="B223" s="1">
        <v>219</v>
      </c>
      <c r="C223" s="9" t="s">
        <v>643</v>
      </c>
      <c r="D223" s="9" t="s">
        <v>644</v>
      </c>
      <c r="E223" s="9" t="s">
        <v>645</v>
      </c>
      <c r="F223" s="9" t="s">
        <v>646</v>
      </c>
      <c r="G223" s="9" t="s">
        <v>14</v>
      </c>
      <c r="H223" s="9" t="s">
        <v>19</v>
      </c>
      <c r="I223" s="9">
        <v>66778286</v>
      </c>
      <c r="J223" s="10">
        <v>44973</v>
      </c>
      <c r="K223" s="9" t="s">
        <v>29</v>
      </c>
      <c r="L223" s="10">
        <v>45383</v>
      </c>
      <c r="M223" s="9" t="s">
        <v>45</v>
      </c>
    </row>
    <row r="224" spans="2:13" x14ac:dyDescent="0.25">
      <c r="B224" s="1">
        <v>220</v>
      </c>
      <c r="C224" s="9" t="s">
        <v>647</v>
      </c>
      <c r="D224" s="9" t="s">
        <v>648</v>
      </c>
      <c r="E224" s="9" t="s">
        <v>649</v>
      </c>
      <c r="F224" s="9" t="s">
        <v>650</v>
      </c>
      <c r="G224" s="9" t="s">
        <v>14</v>
      </c>
      <c r="H224" s="9" t="s">
        <v>19</v>
      </c>
      <c r="I224" s="9">
        <v>65323489</v>
      </c>
      <c r="J224" s="10">
        <v>44887</v>
      </c>
      <c r="K224" s="9" t="s">
        <v>29</v>
      </c>
      <c r="L224" s="10">
        <v>45383</v>
      </c>
      <c r="M224" s="9" t="s">
        <v>45</v>
      </c>
    </row>
    <row r="225" spans="2:13" x14ac:dyDescent="0.25">
      <c r="B225" s="1">
        <v>221</v>
      </c>
      <c r="C225" s="9" t="s">
        <v>651</v>
      </c>
      <c r="D225" s="9" t="s">
        <v>652</v>
      </c>
      <c r="E225" s="9" t="s">
        <v>653</v>
      </c>
      <c r="F225" s="9" t="s">
        <v>654</v>
      </c>
      <c r="G225" s="9" t="s">
        <v>14</v>
      </c>
      <c r="H225" s="9" t="s">
        <v>19</v>
      </c>
      <c r="I225" s="9">
        <v>63176850</v>
      </c>
      <c r="J225" s="10">
        <v>44874</v>
      </c>
      <c r="K225" s="9" t="s">
        <v>29</v>
      </c>
      <c r="L225" s="10">
        <v>45383</v>
      </c>
      <c r="M225" s="9" t="s">
        <v>45</v>
      </c>
    </row>
    <row r="226" spans="2:13" x14ac:dyDescent="0.25">
      <c r="B226" s="1">
        <v>222</v>
      </c>
      <c r="C226" s="9" t="s">
        <v>655</v>
      </c>
      <c r="D226" s="9" t="s">
        <v>656</v>
      </c>
      <c r="E226" s="9" t="s">
        <v>657</v>
      </c>
      <c r="F226" s="9" t="s">
        <v>658</v>
      </c>
      <c r="G226" s="9" t="s">
        <v>14</v>
      </c>
      <c r="H226" s="9" t="s">
        <v>19</v>
      </c>
      <c r="I226" s="9">
        <v>44014615</v>
      </c>
      <c r="J226" s="10">
        <v>44204</v>
      </c>
      <c r="K226" s="9" t="s">
        <v>31</v>
      </c>
      <c r="L226" s="10">
        <v>45384</v>
      </c>
      <c r="M226" s="9" t="s">
        <v>45</v>
      </c>
    </row>
    <row r="227" spans="2:13" x14ac:dyDescent="0.25">
      <c r="B227" s="1">
        <v>223</v>
      </c>
      <c r="C227" s="9" t="s">
        <v>659</v>
      </c>
      <c r="D227" s="9" t="s">
        <v>660</v>
      </c>
      <c r="E227" s="9" t="s">
        <v>661</v>
      </c>
      <c r="F227" s="9" t="s">
        <v>662</v>
      </c>
      <c r="G227" s="9" t="s">
        <v>14</v>
      </c>
      <c r="H227" s="9" t="s">
        <v>19</v>
      </c>
      <c r="I227" s="9">
        <v>66082957</v>
      </c>
      <c r="J227" s="10">
        <v>44909</v>
      </c>
      <c r="K227" s="9" t="s">
        <v>29</v>
      </c>
      <c r="L227" s="10">
        <v>45384</v>
      </c>
      <c r="M227" s="9" t="s">
        <v>45</v>
      </c>
    </row>
    <row r="228" spans="2:13" x14ac:dyDescent="0.25">
      <c r="B228" s="1">
        <v>224</v>
      </c>
      <c r="C228" s="9" t="s">
        <v>663</v>
      </c>
      <c r="D228" s="9" t="s">
        <v>664</v>
      </c>
      <c r="E228" s="9" t="s">
        <v>666</v>
      </c>
      <c r="F228" s="9" t="s">
        <v>665</v>
      </c>
      <c r="G228" s="9" t="s">
        <v>14</v>
      </c>
      <c r="H228" s="9" t="s">
        <v>22</v>
      </c>
      <c r="I228" s="9">
        <v>63512440</v>
      </c>
      <c r="J228" s="10">
        <v>44820</v>
      </c>
      <c r="K228" s="9" t="s">
        <v>29</v>
      </c>
      <c r="L228" s="10">
        <v>45384</v>
      </c>
      <c r="M228" s="9" t="s">
        <v>45</v>
      </c>
    </row>
    <row r="229" spans="2:13" x14ac:dyDescent="0.25">
      <c r="B229" s="1">
        <v>225</v>
      </c>
      <c r="C229" s="9" t="s">
        <v>667</v>
      </c>
      <c r="D229" s="9" t="s">
        <v>668</v>
      </c>
      <c r="E229" s="9"/>
      <c r="F229" s="9" t="s">
        <v>669</v>
      </c>
      <c r="G229" s="9" t="s">
        <v>14</v>
      </c>
      <c r="H229" s="9" t="s">
        <v>19</v>
      </c>
      <c r="I229" s="9">
        <v>32443419</v>
      </c>
      <c r="J229" s="10">
        <v>43622</v>
      </c>
      <c r="K229" s="9" t="s">
        <v>31</v>
      </c>
      <c r="L229" s="10">
        <v>45385</v>
      </c>
      <c r="M229" s="9" t="s">
        <v>45</v>
      </c>
    </row>
    <row r="230" spans="2:13" x14ac:dyDescent="0.25">
      <c r="B230" s="1">
        <v>226</v>
      </c>
      <c r="C230" s="9" t="s">
        <v>670</v>
      </c>
      <c r="D230" s="9" t="s">
        <v>671</v>
      </c>
      <c r="E230" s="9" t="s">
        <v>672</v>
      </c>
      <c r="F230" s="9" t="s">
        <v>673</v>
      </c>
      <c r="G230" s="9" t="s">
        <v>14</v>
      </c>
      <c r="H230" s="9" t="s">
        <v>19</v>
      </c>
      <c r="I230" s="9">
        <v>68042377</v>
      </c>
      <c r="J230" s="10">
        <v>45027</v>
      </c>
      <c r="K230" s="9" t="s">
        <v>29</v>
      </c>
      <c r="L230" s="10">
        <v>45386</v>
      </c>
      <c r="M230" s="9" t="s">
        <v>45</v>
      </c>
    </row>
    <row r="231" spans="2:13" x14ac:dyDescent="0.25">
      <c r="B231" s="1">
        <v>227</v>
      </c>
      <c r="C231" s="9" t="s">
        <v>674</v>
      </c>
      <c r="D231" s="9" t="s">
        <v>703</v>
      </c>
      <c r="E231" s="9" t="s">
        <v>676</v>
      </c>
      <c r="F231" s="9" t="s">
        <v>675</v>
      </c>
      <c r="G231" s="9" t="s">
        <v>14</v>
      </c>
      <c r="H231" s="9" t="s">
        <v>19</v>
      </c>
      <c r="I231" s="9">
        <v>62659258</v>
      </c>
      <c r="J231" s="10">
        <v>44904</v>
      </c>
      <c r="K231" s="9" t="s">
        <v>29</v>
      </c>
      <c r="L231" s="10">
        <v>45386</v>
      </c>
      <c r="M231" s="9" t="s">
        <v>45</v>
      </c>
    </row>
    <row r="232" spans="2:13" x14ac:dyDescent="0.25">
      <c r="B232" s="1">
        <v>228</v>
      </c>
      <c r="C232" s="9" t="s">
        <v>677</v>
      </c>
      <c r="D232" s="9" t="s">
        <v>678</v>
      </c>
      <c r="E232" s="9" t="s">
        <v>679</v>
      </c>
      <c r="F232" s="9" t="s">
        <v>680</v>
      </c>
      <c r="G232" s="9" t="s">
        <v>14</v>
      </c>
      <c r="H232" s="9" t="s">
        <v>19</v>
      </c>
      <c r="I232" s="9">
        <v>69431746</v>
      </c>
      <c r="J232" s="10">
        <v>45061</v>
      </c>
      <c r="K232" s="9" t="s">
        <v>29</v>
      </c>
      <c r="L232" s="10">
        <v>45386</v>
      </c>
      <c r="M232" s="9" t="s">
        <v>45</v>
      </c>
    </row>
    <row r="233" spans="2:13" x14ac:dyDescent="0.25">
      <c r="B233" s="1">
        <v>229</v>
      </c>
      <c r="C233" s="9" t="s">
        <v>683</v>
      </c>
      <c r="D233" s="9" t="s">
        <v>684</v>
      </c>
      <c r="E233" s="9" t="s">
        <v>685</v>
      </c>
      <c r="F233" s="9" t="s">
        <v>686</v>
      </c>
      <c r="G233" s="9" t="s">
        <v>14</v>
      </c>
      <c r="H233" s="9" t="s">
        <v>18</v>
      </c>
      <c r="I233" s="9">
        <v>62350802</v>
      </c>
      <c r="J233" s="10">
        <v>44846</v>
      </c>
      <c r="K233" s="9" t="s">
        <v>29</v>
      </c>
      <c r="L233" s="10">
        <v>45386</v>
      </c>
      <c r="M233" s="9" t="s">
        <v>45</v>
      </c>
    </row>
    <row r="234" spans="2:13" x14ac:dyDescent="0.25">
      <c r="B234" s="1">
        <v>230</v>
      </c>
      <c r="C234" s="9" t="s">
        <v>687</v>
      </c>
      <c r="D234" s="9" t="s">
        <v>688</v>
      </c>
      <c r="E234" s="9" t="s">
        <v>689</v>
      </c>
      <c r="F234" s="9" t="s">
        <v>690</v>
      </c>
      <c r="G234" s="9" t="s">
        <v>14</v>
      </c>
      <c r="H234" s="9" t="s">
        <v>19</v>
      </c>
      <c r="I234" s="9">
        <v>61361527</v>
      </c>
      <c r="J234" s="10">
        <v>44805</v>
      </c>
      <c r="K234" s="9" t="s">
        <v>29</v>
      </c>
      <c r="L234" s="10">
        <v>45386</v>
      </c>
      <c r="M234" s="9" t="s">
        <v>45</v>
      </c>
    </row>
    <row r="235" spans="2:13" x14ac:dyDescent="0.25">
      <c r="B235" s="1">
        <v>231</v>
      </c>
      <c r="C235" s="9" t="s">
        <v>681</v>
      </c>
      <c r="D235" s="9" t="s">
        <v>682</v>
      </c>
      <c r="E235" s="9" t="s">
        <v>691</v>
      </c>
      <c r="F235" s="9" t="s">
        <v>692</v>
      </c>
      <c r="G235" s="9" t="s">
        <v>14</v>
      </c>
      <c r="H235" s="9" t="s">
        <v>20</v>
      </c>
      <c r="I235" s="9">
        <v>62618472</v>
      </c>
      <c r="J235" s="10">
        <v>44925</v>
      </c>
      <c r="K235" s="9" t="s">
        <v>30</v>
      </c>
      <c r="L235" s="10">
        <v>45386</v>
      </c>
      <c r="M235" s="9" t="s">
        <v>45</v>
      </c>
    </row>
    <row r="236" spans="2:13" x14ac:dyDescent="0.25">
      <c r="B236" s="1">
        <v>232</v>
      </c>
      <c r="C236" s="9" t="s">
        <v>693</v>
      </c>
      <c r="D236" s="9" t="s">
        <v>694</v>
      </c>
      <c r="E236" s="9" t="s">
        <v>695</v>
      </c>
      <c r="F236" s="9" t="s">
        <v>696</v>
      </c>
      <c r="G236" s="9" t="s">
        <v>14</v>
      </c>
      <c r="H236" s="9" t="s">
        <v>19</v>
      </c>
      <c r="I236" s="9">
        <v>62340661</v>
      </c>
      <c r="J236" s="10">
        <v>44839</v>
      </c>
      <c r="K236" s="9" t="s">
        <v>29</v>
      </c>
      <c r="L236" s="10">
        <v>45390</v>
      </c>
      <c r="M236" s="9" t="s">
        <v>45</v>
      </c>
    </row>
    <row r="237" spans="2:13" x14ac:dyDescent="0.25">
      <c r="B237" s="1">
        <v>233</v>
      </c>
      <c r="C237" s="9" t="s">
        <v>697</v>
      </c>
      <c r="D237" s="9" t="s">
        <v>698</v>
      </c>
      <c r="E237" s="9"/>
      <c r="F237" s="9"/>
      <c r="G237" s="9" t="s">
        <v>44</v>
      </c>
      <c r="H237" s="9" t="s">
        <v>19</v>
      </c>
      <c r="I237" s="9">
        <v>41757003</v>
      </c>
      <c r="J237" s="10">
        <v>44035</v>
      </c>
      <c r="K237" s="9" t="s">
        <v>31</v>
      </c>
      <c r="L237" s="10">
        <v>45390</v>
      </c>
      <c r="M237" s="9" t="s">
        <v>45</v>
      </c>
    </row>
    <row r="238" spans="2:13" x14ac:dyDescent="0.25">
      <c r="B238" s="1">
        <v>234</v>
      </c>
      <c r="C238" s="9" t="s">
        <v>699</v>
      </c>
      <c r="D238" s="9" t="s">
        <v>700</v>
      </c>
      <c r="E238" s="9" t="s">
        <v>701</v>
      </c>
      <c r="F238" s="9" t="s">
        <v>702</v>
      </c>
      <c r="G238" s="9" t="s">
        <v>14</v>
      </c>
      <c r="H238" s="9" t="s">
        <v>22</v>
      </c>
      <c r="I238" s="9">
        <v>66704141</v>
      </c>
      <c r="J238" s="10">
        <v>44970</v>
      </c>
      <c r="K238" s="9" t="s">
        <v>235</v>
      </c>
      <c r="L238" s="10">
        <v>45390</v>
      </c>
      <c r="M238" s="9" t="s">
        <v>45</v>
      </c>
    </row>
    <row r="239" spans="2:13" x14ac:dyDescent="0.25">
      <c r="B239" s="1">
        <v>235</v>
      </c>
      <c r="C239" s="9" t="s">
        <v>704</v>
      </c>
      <c r="D239" s="9" t="s">
        <v>705</v>
      </c>
      <c r="E239" s="9" t="s">
        <v>707</v>
      </c>
      <c r="F239" s="9" t="s">
        <v>706</v>
      </c>
      <c r="G239" s="9" t="s">
        <v>14</v>
      </c>
      <c r="H239" s="9" t="s">
        <v>21</v>
      </c>
      <c r="I239" s="9">
        <v>61802961</v>
      </c>
      <c r="J239" s="10">
        <v>44824</v>
      </c>
      <c r="K239" s="9" t="s">
        <v>29</v>
      </c>
      <c r="L239" s="10">
        <v>45391</v>
      </c>
      <c r="M239" s="9" t="s">
        <v>45</v>
      </c>
    </row>
    <row r="240" spans="2:13" x14ac:dyDescent="0.25">
      <c r="B240" s="1">
        <v>236</v>
      </c>
      <c r="C240" s="9" t="s">
        <v>708</v>
      </c>
      <c r="D240" s="9" t="s">
        <v>709</v>
      </c>
      <c r="E240" s="9" t="s">
        <v>710</v>
      </c>
      <c r="F240" s="9" t="s">
        <v>711</v>
      </c>
      <c r="G240" s="9" t="s">
        <v>14</v>
      </c>
      <c r="H240" s="9" t="s">
        <v>22</v>
      </c>
      <c r="I240" s="9">
        <v>68003374</v>
      </c>
      <c r="J240" s="10">
        <v>45021</v>
      </c>
      <c r="K240" s="9" t="s">
        <v>57</v>
      </c>
      <c r="L240" s="10">
        <v>45392</v>
      </c>
      <c r="M240" s="9" t="s">
        <v>45</v>
      </c>
    </row>
    <row r="241" spans="2:13" x14ac:dyDescent="0.25">
      <c r="B241" s="1">
        <v>237</v>
      </c>
      <c r="C241" s="9" t="s">
        <v>712</v>
      </c>
      <c r="D241" s="9" t="s">
        <v>713</v>
      </c>
      <c r="E241" s="9" t="s">
        <v>714</v>
      </c>
      <c r="F241" s="9" t="s">
        <v>715</v>
      </c>
      <c r="G241" s="9" t="s">
        <v>14</v>
      </c>
      <c r="H241" s="9" t="s">
        <v>19</v>
      </c>
      <c r="I241" s="9">
        <v>66597054</v>
      </c>
      <c r="J241" s="10">
        <v>44956</v>
      </c>
      <c r="K241" s="9" t="s">
        <v>30</v>
      </c>
      <c r="L241" s="10">
        <v>45392</v>
      </c>
      <c r="M241" s="9" t="s">
        <v>45</v>
      </c>
    </row>
    <row r="242" spans="2:13" x14ac:dyDescent="0.25">
      <c r="B242" s="1">
        <v>238</v>
      </c>
      <c r="C242" s="9" t="s">
        <v>716</v>
      </c>
      <c r="D242" s="9" t="s">
        <v>717</v>
      </c>
      <c r="E242" s="9" t="s">
        <v>718</v>
      </c>
      <c r="F242" s="9" t="s">
        <v>719</v>
      </c>
      <c r="G242" s="9" t="s">
        <v>14</v>
      </c>
      <c r="H242" s="9" t="s">
        <v>21</v>
      </c>
      <c r="I242" s="9">
        <v>66577819</v>
      </c>
      <c r="J242" s="10">
        <v>44957</v>
      </c>
      <c r="K242" s="9" t="s">
        <v>29</v>
      </c>
      <c r="L242" s="10">
        <v>45392</v>
      </c>
      <c r="M242" s="9" t="s">
        <v>45</v>
      </c>
    </row>
    <row r="243" spans="2:13" x14ac:dyDescent="0.25">
      <c r="B243" s="1">
        <v>239</v>
      </c>
      <c r="C243" s="9" t="s">
        <v>720</v>
      </c>
      <c r="D243" s="9" t="s">
        <v>721</v>
      </c>
      <c r="E243" s="9" t="s">
        <v>722</v>
      </c>
      <c r="F243" s="9" t="s">
        <v>723</v>
      </c>
      <c r="G243" s="9" t="s">
        <v>14</v>
      </c>
      <c r="H243" s="9" t="s">
        <v>19</v>
      </c>
      <c r="I243" s="9">
        <v>63452685</v>
      </c>
      <c r="J243" s="10">
        <v>44883</v>
      </c>
      <c r="K243" s="9" t="s">
        <v>29</v>
      </c>
      <c r="L243" s="10">
        <v>45392</v>
      </c>
      <c r="M243" s="9" t="s">
        <v>45</v>
      </c>
    </row>
    <row r="244" spans="2:13" x14ac:dyDescent="0.25">
      <c r="B244" s="1">
        <v>240</v>
      </c>
      <c r="C244" s="9" t="s">
        <v>724</v>
      </c>
      <c r="D244" s="9" t="s">
        <v>725</v>
      </c>
      <c r="E244" s="9" t="s">
        <v>726</v>
      </c>
      <c r="F244" s="9" t="s">
        <v>727</v>
      </c>
      <c r="G244" s="9" t="s">
        <v>14</v>
      </c>
      <c r="H244" s="9" t="s">
        <v>19</v>
      </c>
      <c r="I244" s="9">
        <v>60961190</v>
      </c>
      <c r="J244" s="10">
        <v>44795</v>
      </c>
      <c r="K244" s="9" t="s">
        <v>29</v>
      </c>
      <c r="L244" s="10">
        <v>45392</v>
      </c>
      <c r="M244" s="9" t="s">
        <v>45</v>
      </c>
    </row>
    <row r="245" spans="2:13" x14ac:dyDescent="0.25">
      <c r="B245" s="1">
        <v>241</v>
      </c>
      <c r="C245" s="9" t="s">
        <v>728</v>
      </c>
      <c r="D245" s="9" t="s">
        <v>729</v>
      </c>
      <c r="E245" s="9" t="s">
        <v>730</v>
      </c>
      <c r="F245" s="9" t="s">
        <v>731</v>
      </c>
      <c r="G245" s="9" t="s">
        <v>14</v>
      </c>
      <c r="H245" s="9" t="s">
        <v>18</v>
      </c>
      <c r="I245" s="9">
        <v>58045248</v>
      </c>
      <c r="J245" s="10">
        <v>44761</v>
      </c>
      <c r="K245" s="9" t="s">
        <v>29</v>
      </c>
      <c r="L245" s="10">
        <v>45393</v>
      </c>
      <c r="M245" s="9" t="s">
        <v>45</v>
      </c>
    </row>
    <row r="246" spans="2:13" x14ac:dyDescent="0.25">
      <c r="B246" s="1">
        <v>242</v>
      </c>
      <c r="C246" s="9" t="s">
        <v>732</v>
      </c>
      <c r="D246" s="9" t="s">
        <v>733</v>
      </c>
      <c r="E246" s="9" t="s">
        <v>734</v>
      </c>
      <c r="F246" s="9" t="s">
        <v>735</v>
      </c>
      <c r="G246" s="9" t="s">
        <v>14</v>
      </c>
      <c r="H246" s="9" t="s">
        <v>22</v>
      </c>
      <c r="I246" s="9">
        <v>65940535</v>
      </c>
      <c r="J246" s="10">
        <v>44936</v>
      </c>
      <c r="K246" s="9" t="s">
        <v>29</v>
      </c>
      <c r="L246" s="10"/>
      <c r="M246" s="9" t="s">
        <v>45</v>
      </c>
    </row>
    <row r="247" spans="2:13" x14ac:dyDescent="0.25">
      <c r="B247" s="1">
        <v>243</v>
      </c>
      <c r="C247" s="9" t="s">
        <v>736</v>
      </c>
      <c r="D247" s="9" t="s">
        <v>737</v>
      </c>
      <c r="E247" s="9" t="s">
        <v>738</v>
      </c>
      <c r="F247" s="9" t="s">
        <v>739</v>
      </c>
      <c r="G247" s="9" t="s">
        <v>14</v>
      </c>
      <c r="H247" s="9" t="s">
        <v>19</v>
      </c>
      <c r="I247" s="9">
        <v>62405327</v>
      </c>
      <c r="J247" s="10">
        <v>44841</v>
      </c>
      <c r="K247" s="9" t="s">
        <v>29</v>
      </c>
      <c r="L247" s="10">
        <v>45394</v>
      </c>
      <c r="M247" s="9" t="s">
        <v>45</v>
      </c>
    </row>
    <row r="248" spans="2:13" x14ac:dyDescent="0.25">
      <c r="B248" s="1">
        <v>244</v>
      </c>
      <c r="C248" s="9" t="s">
        <v>740</v>
      </c>
      <c r="D248" s="9" t="s">
        <v>741</v>
      </c>
      <c r="E248" s="9" t="s">
        <v>742</v>
      </c>
      <c r="F248" s="9" t="s">
        <v>743</v>
      </c>
      <c r="G248" s="9" t="s">
        <v>14</v>
      </c>
      <c r="H248" s="9" t="s">
        <v>19</v>
      </c>
      <c r="I248" s="9">
        <v>60909440</v>
      </c>
      <c r="J248" s="10">
        <v>44789</v>
      </c>
      <c r="K248" s="9" t="s">
        <v>29</v>
      </c>
      <c r="L248" s="10">
        <v>45394</v>
      </c>
      <c r="M248" s="9" t="s">
        <v>45</v>
      </c>
    </row>
    <row r="249" spans="2:13" x14ac:dyDescent="0.25">
      <c r="B249" s="1">
        <v>245</v>
      </c>
      <c r="C249" s="9" t="s">
        <v>744</v>
      </c>
      <c r="D249" s="9" t="s">
        <v>745</v>
      </c>
      <c r="E249" s="9" t="s">
        <v>746</v>
      </c>
      <c r="F249" s="9" t="s">
        <v>747</v>
      </c>
      <c r="G249" s="9" t="s">
        <v>14</v>
      </c>
      <c r="H249" s="9" t="s">
        <v>22</v>
      </c>
      <c r="I249" s="9">
        <v>65097105</v>
      </c>
      <c r="J249" s="10">
        <v>44981</v>
      </c>
      <c r="K249" s="9" t="s">
        <v>33</v>
      </c>
      <c r="L249" s="10">
        <v>45397</v>
      </c>
      <c r="M249" s="9" t="s">
        <v>45</v>
      </c>
    </row>
    <row r="250" spans="2:13" x14ac:dyDescent="0.25">
      <c r="B250" s="1">
        <v>246</v>
      </c>
      <c r="C250" s="9" t="s">
        <v>748</v>
      </c>
      <c r="D250" s="9" t="s">
        <v>749</v>
      </c>
      <c r="E250" s="9" t="s">
        <v>750</v>
      </c>
      <c r="F250" s="9" t="s">
        <v>751</v>
      </c>
      <c r="G250" s="9" t="s">
        <v>14</v>
      </c>
      <c r="H250" s="9" t="s">
        <v>19</v>
      </c>
      <c r="I250" s="9">
        <v>67948502</v>
      </c>
      <c r="J250" s="10">
        <v>45043</v>
      </c>
      <c r="K250" s="9" t="s">
        <v>29</v>
      </c>
      <c r="L250" s="10">
        <v>45397</v>
      </c>
      <c r="M250" s="9" t="s">
        <v>45</v>
      </c>
    </row>
    <row r="251" spans="2:13" x14ac:dyDescent="0.25">
      <c r="B251" s="1">
        <v>247</v>
      </c>
      <c r="C251" s="9" t="s">
        <v>752</v>
      </c>
      <c r="D251" s="9" t="s">
        <v>753</v>
      </c>
      <c r="E251" s="9"/>
      <c r="F251" s="9"/>
      <c r="G251" s="9" t="s">
        <v>14</v>
      </c>
      <c r="H251" s="9" t="s">
        <v>19</v>
      </c>
      <c r="I251" s="9">
        <v>61119600</v>
      </c>
      <c r="J251" s="10">
        <v>44846</v>
      </c>
      <c r="K251" s="9" t="s">
        <v>29</v>
      </c>
      <c r="L251" s="10">
        <v>45397</v>
      </c>
      <c r="M251" s="9" t="s">
        <v>45</v>
      </c>
    </row>
    <row r="252" spans="2:13" x14ac:dyDescent="0.25">
      <c r="B252" s="1">
        <v>248</v>
      </c>
      <c r="C252" s="9" t="s">
        <v>754</v>
      </c>
      <c r="D252" s="9" t="s">
        <v>755</v>
      </c>
      <c r="E252" s="9" t="s">
        <v>756</v>
      </c>
      <c r="F252" s="9" t="s">
        <v>757</v>
      </c>
      <c r="G252" s="9" t="s">
        <v>14</v>
      </c>
      <c r="H252" s="9" t="s">
        <v>19</v>
      </c>
      <c r="I252" s="9">
        <v>64532143</v>
      </c>
      <c r="J252" s="10">
        <v>44895</v>
      </c>
      <c r="K252" s="9" t="s">
        <v>29</v>
      </c>
      <c r="L252" s="10">
        <v>45398</v>
      </c>
      <c r="M252" s="9" t="s">
        <v>45</v>
      </c>
    </row>
    <row r="253" spans="2:13" x14ac:dyDescent="0.25">
      <c r="B253" s="1">
        <v>249</v>
      </c>
      <c r="C253" s="9" t="s">
        <v>758</v>
      </c>
      <c r="D253" s="9" t="s">
        <v>759</v>
      </c>
      <c r="E253" s="9" t="s">
        <v>760</v>
      </c>
      <c r="F253" s="9" t="s">
        <v>761</v>
      </c>
      <c r="G253" s="9" t="s">
        <v>14</v>
      </c>
      <c r="H253" s="9" t="s">
        <v>19</v>
      </c>
      <c r="I253" s="9">
        <v>68007598</v>
      </c>
      <c r="J253" s="10">
        <v>45021</v>
      </c>
      <c r="K253" s="9" t="s">
        <v>29</v>
      </c>
      <c r="L253" s="10">
        <v>45399</v>
      </c>
      <c r="M253" s="9" t="s">
        <v>45</v>
      </c>
    </row>
    <row r="254" spans="2:13" x14ac:dyDescent="0.25">
      <c r="B254" s="1">
        <v>250</v>
      </c>
      <c r="C254" s="9" t="s">
        <v>762</v>
      </c>
      <c r="D254" s="9" t="s">
        <v>763</v>
      </c>
      <c r="E254" s="9" t="s">
        <v>764</v>
      </c>
      <c r="F254" s="9" t="s">
        <v>765</v>
      </c>
      <c r="G254" s="9" t="s">
        <v>14</v>
      </c>
      <c r="H254" s="9" t="s">
        <v>18</v>
      </c>
      <c r="I254" s="9">
        <v>64550272</v>
      </c>
      <c r="J254" s="10">
        <v>44854</v>
      </c>
      <c r="K254" s="9" t="s">
        <v>29</v>
      </c>
      <c r="L254" s="10">
        <v>45399</v>
      </c>
      <c r="M254" s="9" t="s">
        <v>45</v>
      </c>
    </row>
    <row r="255" spans="2:13" x14ac:dyDescent="0.25">
      <c r="B255" s="1">
        <v>251</v>
      </c>
      <c r="C255" s="9" t="s">
        <v>766</v>
      </c>
      <c r="D255" s="9" t="s">
        <v>767</v>
      </c>
      <c r="E255" s="9"/>
      <c r="F255" s="9"/>
      <c r="G255" s="9" t="s">
        <v>14</v>
      </c>
      <c r="H255" s="9" t="s">
        <v>19</v>
      </c>
      <c r="I255" s="9">
        <v>59997334</v>
      </c>
      <c r="J255" s="10">
        <v>44788</v>
      </c>
      <c r="K255" s="9" t="s">
        <v>29</v>
      </c>
      <c r="L255" s="10">
        <v>45399</v>
      </c>
      <c r="M255" s="9" t="s">
        <v>45</v>
      </c>
    </row>
    <row r="256" spans="2:13" x14ac:dyDescent="0.25">
      <c r="B256" s="1">
        <v>252</v>
      </c>
      <c r="C256" s="9" t="s">
        <v>768</v>
      </c>
      <c r="D256" s="9" t="s">
        <v>769</v>
      </c>
      <c r="E256" s="9" t="s">
        <v>770</v>
      </c>
      <c r="F256" s="9" t="s">
        <v>771</v>
      </c>
      <c r="G256" s="9" t="s">
        <v>14</v>
      </c>
      <c r="H256" s="9" t="s">
        <v>19</v>
      </c>
      <c r="I256" s="9">
        <v>61256957</v>
      </c>
      <c r="J256" s="10">
        <v>44803</v>
      </c>
      <c r="K256" s="9" t="s">
        <v>29</v>
      </c>
      <c r="L256" s="10">
        <v>45399</v>
      </c>
      <c r="M256" s="9" t="s">
        <v>45</v>
      </c>
    </row>
    <row r="257" spans="2:13" x14ac:dyDescent="0.25">
      <c r="B257" s="1">
        <v>253</v>
      </c>
      <c r="C257" s="9" t="s">
        <v>772</v>
      </c>
      <c r="D257" s="9" t="s">
        <v>773</v>
      </c>
      <c r="E257" s="9"/>
      <c r="F257" s="9">
        <v>984473056</v>
      </c>
      <c r="G257" s="9" t="s">
        <v>14</v>
      </c>
      <c r="H257" s="9" t="s">
        <v>19</v>
      </c>
      <c r="I257" s="9">
        <v>49705685</v>
      </c>
      <c r="J257" s="10">
        <v>44343</v>
      </c>
      <c r="K257" s="9" t="s">
        <v>57</v>
      </c>
      <c r="L257" s="10">
        <v>45399</v>
      </c>
      <c r="M257" s="9" t="s">
        <v>45</v>
      </c>
    </row>
    <row r="258" spans="2:13" x14ac:dyDescent="0.25">
      <c r="B258" s="1">
        <v>254</v>
      </c>
      <c r="C258" s="9" t="s">
        <v>774</v>
      </c>
      <c r="D258" s="9" t="s">
        <v>775</v>
      </c>
      <c r="E258" s="9" t="s">
        <v>777</v>
      </c>
      <c r="F258" s="9" t="s">
        <v>776</v>
      </c>
      <c r="G258" s="9" t="s">
        <v>14</v>
      </c>
      <c r="H258" s="9" t="s">
        <v>19</v>
      </c>
      <c r="I258" s="9">
        <v>62794911</v>
      </c>
      <c r="J258" s="10">
        <v>44930</v>
      </c>
      <c r="K258" s="9" t="s">
        <v>29</v>
      </c>
      <c r="L258" s="10">
        <v>45404</v>
      </c>
      <c r="M258" s="9" t="s">
        <v>45</v>
      </c>
    </row>
    <row r="259" spans="2:13" x14ac:dyDescent="0.25">
      <c r="B259" s="1">
        <v>255</v>
      </c>
      <c r="C259" s="9" t="s">
        <v>778</v>
      </c>
      <c r="D259" s="9" t="s">
        <v>779</v>
      </c>
      <c r="E259" s="9" t="s">
        <v>780</v>
      </c>
      <c r="F259" s="9" t="s">
        <v>781</v>
      </c>
      <c r="G259" s="9" t="s">
        <v>14</v>
      </c>
      <c r="H259" s="9" t="s">
        <v>22</v>
      </c>
      <c r="I259" s="9">
        <v>49450014</v>
      </c>
      <c r="J259" s="10">
        <v>44344</v>
      </c>
      <c r="K259" s="9" t="s">
        <v>67</v>
      </c>
      <c r="L259" s="10">
        <v>45404</v>
      </c>
      <c r="M259" s="9" t="s">
        <v>45</v>
      </c>
    </row>
    <row r="260" spans="2:13" x14ac:dyDescent="0.25">
      <c r="B260" s="1">
        <v>256</v>
      </c>
      <c r="C260" s="9" t="s">
        <v>782</v>
      </c>
      <c r="D260" s="9" t="s">
        <v>783</v>
      </c>
      <c r="E260" s="9" t="s">
        <v>784</v>
      </c>
      <c r="F260" s="9" t="s">
        <v>785</v>
      </c>
      <c r="G260" s="9" t="s">
        <v>14</v>
      </c>
      <c r="H260" s="9" t="s">
        <v>19</v>
      </c>
      <c r="I260" s="9">
        <v>69263821</v>
      </c>
      <c r="J260" s="10">
        <v>45057</v>
      </c>
      <c r="K260" s="9" t="s">
        <v>29</v>
      </c>
      <c r="L260" s="10">
        <v>45404</v>
      </c>
      <c r="M260" s="9" t="s">
        <v>45</v>
      </c>
    </row>
    <row r="261" spans="2:13" x14ac:dyDescent="0.25">
      <c r="B261" s="1">
        <v>257</v>
      </c>
      <c r="C261" s="9" t="s">
        <v>786</v>
      </c>
      <c r="D261" s="9" t="s">
        <v>787</v>
      </c>
      <c r="E261" s="9" t="s">
        <v>788</v>
      </c>
      <c r="F261" s="9" t="s">
        <v>789</v>
      </c>
      <c r="G261" s="9" t="s">
        <v>14</v>
      </c>
      <c r="H261" s="9" t="s">
        <v>19</v>
      </c>
      <c r="I261" s="9">
        <v>66423001</v>
      </c>
      <c r="J261" s="10">
        <v>44944</v>
      </c>
      <c r="K261" s="9" t="s">
        <v>29</v>
      </c>
      <c r="L261" s="10">
        <v>45404</v>
      </c>
      <c r="M261" s="9" t="s">
        <v>45</v>
      </c>
    </row>
    <row r="262" spans="2:13" x14ac:dyDescent="0.25">
      <c r="B262" s="1">
        <v>258</v>
      </c>
      <c r="C262" s="9" t="s">
        <v>790</v>
      </c>
      <c r="D262" s="9" t="s">
        <v>791</v>
      </c>
      <c r="E262" s="9" t="s">
        <v>792</v>
      </c>
      <c r="F262" s="9" t="s">
        <v>793</v>
      </c>
      <c r="G262" s="9" t="s">
        <v>14</v>
      </c>
      <c r="H262" s="9" t="s">
        <v>19</v>
      </c>
      <c r="I262" s="9">
        <v>65212163</v>
      </c>
      <c r="J262" s="10">
        <v>44925</v>
      </c>
      <c r="K262" s="9" t="s">
        <v>29</v>
      </c>
      <c r="L262" s="10">
        <v>45404</v>
      </c>
      <c r="M262" s="9" t="s">
        <v>45</v>
      </c>
    </row>
    <row r="263" spans="2:13" x14ac:dyDescent="0.25">
      <c r="B263" s="1">
        <v>259</v>
      </c>
      <c r="C263" s="9" t="s">
        <v>794</v>
      </c>
      <c r="D263" s="9" t="s">
        <v>795</v>
      </c>
      <c r="E263" s="9" t="s">
        <v>796</v>
      </c>
      <c r="F263" s="9"/>
      <c r="G263" s="9" t="s">
        <v>14</v>
      </c>
      <c r="H263" s="9" t="s">
        <v>19</v>
      </c>
      <c r="I263" s="9">
        <v>63174285</v>
      </c>
      <c r="J263" s="10">
        <v>44810</v>
      </c>
      <c r="K263" s="9" t="s">
        <v>29</v>
      </c>
      <c r="L263" s="10">
        <v>45405</v>
      </c>
      <c r="M263" s="9" t="s">
        <v>45</v>
      </c>
    </row>
    <row r="264" spans="2:13" x14ac:dyDescent="0.25">
      <c r="B264" s="1">
        <v>260</v>
      </c>
      <c r="C264" s="9" t="s">
        <v>797</v>
      </c>
      <c r="D264" s="9" t="s">
        <v>798</v>
      </c>
      <c r="E264" s="9" t="s">
        <v>799</v>
      </c>
      <c r="F264" s="9" t="s">
        <v>800</v>
      </c>
      <c r="G264" s="9" t="s">
        <v>14</v>
      </c>
      <c r="H264" s="9" t="s">
        <v>19</v>
      </c>
      <c r="I264" s="9">
        <v>60020375</v>
      </c>
      <c r="J264" s="10">
        <v>44770</v>
      </c>
      <c r="K264" s="9" t="s">
        <v>29</v>
      </c>
      <c r="L264" s="10">
        <v>45405</v>
      </c>
      <c r="M264" s="9" t="s">
        <v>45</v>
      </c>
    </row>
    <row r="265" spans="2:13" x14ac:dyDescent="0.25">
      <c r="B265" s="1">
        <v>261</v>
      </c>
      <c r="C265" s="9" t="s">
        <v>801</v>
      </c>
      <c r="D265" s="9" t="s">
        <v>802</v>
      </c>
      <c r="E265" s="9" t="s">
        <v>803</v>
      </c>
      <c r="F265" s="9" t="s">
        <v>804</v>
      </c>
      <c r="G265" s="9" t="s">
        <v>14</v>
      </c>
      <c r="H265" s="9" t="s">
        <v>21</v>
      </c>
      <c r="I265" s="9">
        <v>59573854</v>
      </c>
      <c r="J265" s="10">
        <v>44848</v>
      </c>
      <c r="K265" s="9" t="s">
        <v>29</v>
      </c>
      <c r="L265" s="10">
        <v>45408</v>
      </c>
      <c r="M265" s="9" t="s">
        <v>45</v>
      </c>
    </row>
    <row r="266" spans="2:13" x14ac:dyDescent="0.25">
      <c r="B266" s="1">
        <v>262</v>
      </c>
      <c r="C266" s="9" t="s">
        <v>805</v>
      </c>
      <c r="D266" s="9" t="s">
        <v>806</v>
      </c>
      <c r="E266" s="9" t="s">
        <v>807</v>
      </c>
      <c r="F266" s="9" t="s">
        <v>808</v>
      </c>
      <c r="G266" s="9" t="s">
        <v>14</v>
      </c>
      <c r="H266" s="9" t="s">
        <v>18</v>
      </c>
      <c r="I266" s="9">
        <v>65282994</v>
      </c>
      <c r="J266" s="10">
        <v>44882</v>
      </c>
      <c r="K266" s="9" t="s">
        <v>29</v>
      </c>
      <c r="L266" s="10">
        <v>45408</v>
      </c>
      <c r="M266" s="9" t="s">
        <v>45</v>
      </c>
    </row>
    <row r="267" spans="2:13" x14ac:dyDescent="0.25">
      <c r="B267" s="1">
        <v>263</v>
      </c>
      <c r="C267" s="9" t="s">
        <v>809</v>
      </c>
      <c r="D267" s="9" t="s">
        <v>810</v>
      </c>
      <c r="E267" s="9" t="s">
        <v>811</v>
      </c>
      <c r="F267" s="9"/>
      <c r="G267" s="9" t="s">
        <v>14</v>
      </c>
      <c r="H267" s="9" t="s">
        <v>19</v>
      </c>
      <c r="I267" s="9">
        <v>65154864</v>
      </c>
      <c r="J267" s="10">
        <v>44882</v>
      </c>
      <c r="K267" s="9" t="s">
        <v>29</v>
      </c>
      <c r="L267" s="10">
        <v>45414</v>
      </c>
      <c r="M267" s="9" t="s">
        <v>45</v>
      </c>
    </row>
    <row r="268" spans="2:13" x14ac:dyDescent="0.25">
      <c r="B268" s="1">
        <v>264</v>
      </c>
      <c r="C268" s="9" t="s">
        <v>812</v>
      </c>
      <c r="D268" s="9" t="s">
        <v>813</v>
      </c>
      <c r="E268" s="9"/>
      <c r="F268" s="9"/>
      <c r="G268" s="9" t="s">
        <v>14</v>
      </c>
      <c r="H268" s="9" t="s">
        <v>19</v>
      </c>
      <c r="I268" s="9">
        <v>64191570</v>
      </c>
      <c r="J268" s="10">
        <v>44987</v>
      </c>
      <c r="K268" s="9" t="s">
        <v>29</v>
      </c>
      <c r="L268" s="10">
        <v>45414</v>
      </c>
      <c r="M268" s="9" t="s">
        <v>45</v>
      </c>
    </row>
    <row r="269" spans="2:13" x14ac:dyDescent="0.25">
      <c r="B269" s="1">
        <v>265</v>
      </c>
      <c r="C269" s="9" t="s">
        <v>814</v>
      </c>
      <c r="D269" s="9" t="s">
        <v>815</v>
      </c>
      <c r="E269" s="9"/>
      <c r="F269" s="9"/>
      <c r="G269" s="9" t="s">
        <v>14</v>
      </c>
      <c r="H269" s="9" t="s">
        <v>18</v>
      </c>
      <c r="I269" s="9">
        <v>67700177</v>
      </c>
      <c r="J269" s="10">
        <v>45021</v>
      </c>
      <c r="K269" s="9" t="s">
        <v>29</v>
      </c>
      <c r="L269" s="10">
        <v>45414</v>
      </c>
      <c r="M269" s="9" t="s">
        <v>45</v>
      </c>
    </row>
    <row r="270" spans="2:13" x14ac:dyDescent="0.25">
      <c r="B270" s="1">
        <v>266</v>
      </c>
      <c r="C270" s="9" t="s">
        <v>816</v>
      </c>
      <c r="D270" s="9" t="s">
        <v>817</v>
      </c>
      <c r="E270" s="9" t="s">
        <v>818</v>
      </c>
      <c r="F270" s="9" t="s">
        <v>819</v>
      </c>
      <c r="G270" s="9" t="s">
        <v>14</v>
      </c>
      <c r="H270" s="9" t="s">
        <v>20</v>
      </c>
      <c r="I270" s="9">
        <v>64605302</v>
      </c>
      <c r="J270" s="10">
        <v>44907</v>
      </c>
      <c r="K270" s="9" t="s">
        <v>29</v>
      </c>
      <c r="L270" s="10">
        <v>45414</v>
      </c>
      <c r="M270" s="9" t="s">
        <v>45</v>
      </c>
    </row>
    <row r="271" spans="2:13" x14ac:dyDescent="0.25">
      <c r="B271" s="1">
        <v>267</v>
      </c>
      <c r="C271" s="9" t="s">
        <v>820</v>
      </c>
      <c r="D271" s="9" t="s">
        <v>821</v>
      </c>
      <c r="E271" s="9" t="s">
        <v>822</v>
      </c>
      <c r="F271" s="9" t="s">
        <v>823</v>
      </c>
      <c r="G271" s="9" t="s">
        <v>14</v>
      </c>
      <c r="H271" s="9" t="s">
        <v>19</v>
      </c>
      <c r="I271" s="9">
        <v>68597502</v>
      </c>
      <c r="J271" s="10">
        <v>45043</v>
      </c>
      <c r="K271" s="9" t="s">
        <v>29</v>
      </c>
      <c r="L271" s="10">
        <v>45414</v>
      </c>
      <c r="M271" s="9" t="s">
        <v>45</v>
      </c>
    </row>
    <row r="272" spans="2:13" x14ac:dyDescent="0.25">
      <c r="B272" s="1">
        <v>268</v>
      </c>
      <c r="C272" s="9" t="s">
        <v>824</v>
      </c>
      <c r="D272" s="9" t="s">
        <v>825</v>
      </c>
      <c r="E272" s="9" t="s">
        <v>826</v>
      </c>
      <c r="F272" s="9" t="s">
        <v>827</v>
      </c>
      <c r="G272" s="9" t="s">
        <v>14</v>
      </c>
      <c r="H272" s="9" t="s">
        <v>22</v>
      </c>
      <c r="I272" s="9">
        <v>66815129</v>
      </c>
      <c r="J272" s="10">
        <v>44949</v>
      </c>
      <c r="K272" s="9" t="s">
        <v>29</v>
      </c>
      <c r="L272" s="10">
        <v>45414</v>
      </c>
      <c r="M272" s="9" t="s">
        <v>45</v>
      </c>
    </row>
    <row r="273" spans="2:14" x14ac:dyDescent="0.25">
      <c r="B273" s="1">
        <v>269</v>
      </c>
      <c r="C273" s="9" t="s">
        <v>828</v>
      </c>
      <c r="D273" s="9" t="s">
        <v>829</v>
      </c>
      <c r="E273" s="9" t="s">
        <v>830</v>
      </c>
      <c r="F273" s="9"/>
      <c r="G273" s="9" t="s">
        <v>14</v>
      </c>
      <c r="H273" s="9" t="s">
        <v>26</v>
      </c>
      <c r="I273" s="9">
        <v>65788854</v>
      </c>
      <c r="J273" s="10">
        <v>44923</v>
      </c>
      <c r="K273" s="9" t="s">
        <v>29</v>
      </c>
      <c r="L273" s="10">
        <v>45414</v>
      </c>
      <c r="M273" s="9" t="s">
        <v>45</v>
      </c>
    </row>
    <row r="274" spans="2:14" x14ac:dyDescent="0.25">
      <c r="B274" s="1">
        <v>270</v>
      </c>
      <c r="C274" s="9" t="s">
        <v>831</v>
      </c>
      <c r="D274" s="9" t="s">
        <v>832</v>
      </c>
      <c r="E274" s="9" t="s">
        <v>833</v>
      </c>
      <c r="F274" s="9"/>
      <c r="G274" s="9" t="s">
        <v>14</v>
      </c>
      <c r="H274" s="9" t="s">
        <v>18</v>
      </c>
      <c r="I274" s="9">
        <v>66556649</v>
      </c>
      <c r="J274" s="10">
        <v>44949</v>
      </c>
      <c r="K274" s="9" t="s">
        <v>29</v>
      </c>
      <c r="L274" s="10">
        <v>45414</v>
      </c>
      <c r="M274" s="9" t="s">
        <v>45</v>
      </c>
    </row>
    <row r="275" spans="2:14" x14ac:dyDescent="0.25">
      <c r="B275" s="1">
        <v>271</v>
      </c>
      <c r="C275" s="9" t="s">
        <v>834</v>
      </c>
      <c r="D275" s="9" t="s">
        <v>835</v>
      </c>
      <c r="E275" s="9" t="s">
        <v>836</v>
      </c>
      <c r="F275" s="9" t="s">
        <v>837</v>
      </c>
      <c r="G275" s="9" t="s">
        <v>14</v>
      </c>
      <c r="H275" s="9" t="s">
        <v>19</v>
      </c>
      <c r="I275" s="9">
        <v>66279967</v>
      </c>
      <c r="J275" s="10">
        <v>44938</v>
      </c>
      <c r="K275" s="9" t="s">
        <v>29</v>
      </c>
      <c r="L275" s="10">
        <v>45418</v>
      </c>
      <c r="M275" s="9" t="s">
        <v>45</v>
      </c>
    </row>
    <row r="276" spans="2:14" x14ac:dyDescent="0.25">
      <c r="B276" s="1">
        <v>272</v>
      </c>
      <c r="C276" s="9" t="s">
        <v>838</v>
      </c>
      <c r="D276" s="9" t="s">
        <v>839</v>
      </c>
      <c r="E276" s="9" t="s">
        <v>840</v>
      </c>
      <c r="F276" s="9" t="s">
        <v>841</v>
      </c>
      <c r="G276" s="9" t="s">
        <v>14</v>
      </c>
      <c r="H276" s="9" t="s">
        <v>18</v>
      </c>
      <c r="I276" s="9">
        <v>67946919</v>
      </c>
      <c r="J276" s="10">
        <v>45016</v>
      </c>
      <c r="K276" s="9" t="s">
        <v>29</v>
      </c>
      <c r="L276" s="10">
        <v>45418</v>
      </c>
      <c r="M276" s="9" t="s">
        <v>45</v>
      </c>
    </row>
    <row r="277" spans="2:14" x14ac:dyDescent="0.25">
      <c r="B277" s="29">
        <v>273</v>
      </c>
      <c r="C277" s="30" t="s">
        <v>842</v>
      </c>
      <c r="D277" s="30" t="s">
        <v>843</v>
      </c>
      <c r="E277" s="30" t="s">
        <v>844</v>
      </c>
      <c r="F277" s="30" t="s">
        <v>845</v>
      </c>
      <c r="G277" s="30" t="s">
        <v>14</v>
      </c>
      <c r="H277" s="30" t="s">
        <v>22</v>
      </c>
      <c r="I277" s="30">
        <v>77886966</v>
      </c>
      <c r="J277" s="31">
        <v>45384</v>
      </c>
      <c r="K277" s="30" t="s">
        <v>53</v>
      </c>
      <c r="L277" s="31">
        <v>45418</v>
      </c>
      <c r="M277" s="30" t="s">
        <v>45</v>
      </c>
      <c r="N277" t="s">
        <v>1079</v>
      </c>
    </row>
    <row r="278" spans="2:14" x14ac:dyDescent="0.25">
      <c r="B278" s="1">
        <v>274</v>
      </c>
      <c r="C278" s="9" t="s">
        <v>846</v>
      </c>
      <c r="D278" s="9" t="s">
        <v>847</v>
      </c>
      <c r="E278" s="9" t="s">
        <v>848</v>
      </c>
      <c r="F278" s="9" t="s">
        <v>849</v>
      </c>
      <c r="G278" s="9" t="s">
        <v>14</v>
      </c>
      <c r="H278" s="9" t="s">
        <v>19</v>
      </c>
      <c r="I278" s="9">
        <v>67749258</v>
      </c>
      <c r="J278" s="10">
        <v>44994</v>
      </c>
      <c r="K278" s="9" t="s">
        <v>29</v>
      </c>
      <c r="L278" s="10">
        <v>45418</v>
      </c>
      <c r="M278" s="9" t="s">
        <v>45</v>
      </c>
    </row>
    <row r="279" spans="2:14" x14ac:dyDescent="0.25">
      <c r="B279" s="1">
        <v>275</v>
      </c>
      <c r="C279" s="9" t="s">
        <v>850</v>
      </c>
      <c r="D279" s="9" t="s">
        <v>851</v>
      </c>
      <c r="E279" s="9" t="s">
        <v>852</v>
      </c>
      <c r="F279" s="9" t="s">
        <v>853</v>
      </c>
      <c r="G279" s="9" t="s">
        <v>257</v>
      </c>
      <c r="H279" s="9" t="s">
        <v>23</v>
      </c>
      <c r="I279" s="9">
        <v>63122959</v>
      </c>
      <c r="J279" s="10">
        <v>44965</v>
      </c>
      <c r="K279" s="9" t="s">
        <v>235</v>
      </c>
      <c r="L279" s="10">
        <v>45418</v>
      </c>
      <c r="M279" s="9" t="s">
        <v>45</v>
      </c>
    </row>
    <row r="280" spans="2:14" x14ac:dyDescent="0.25">
      <c r="B280" s="1">
        <v>276</v>
      </c>
      <c r="C280" s="9" t="s">
        <v>854</v>
      </c>
      <c r="D280" s="9" t="s">
        <v>855</v>
      </c>
      <c r="E280" s="9" t="s">
        <v>856</v>
      </c>
      <c r="F280" s="9" t="s">
        <v>857</v>
      </c>
      <c r="G280" s="9" t="s">
        <v>14</v>
      </c>
      <c r="H280" s="9" t="s">
        <v>19</v>
      </c>
      <c r="I280" s="9">
        <v>62655879</v>
      </c>
      <c r="J280" s="10">
        <v>44855</v>
      </c>
      <c r="K280" s="9" t="s">
        <v>29</v>
      </c>
      <c r="L280" s="10">
        <v>45419</v>
      </c>
      <c r="M280" s="9" t="s">
        <v>45</v>
      </c>
    </row>
    <row r="281" spans="2:14" x14ac:dyDescent="0.25">
      <c r="B281" s="1">
        <v>277</v>
      </c>
      <c r="C281" s="9" t="s">
        <v>858</v>
      </c>
      <c r="D281" s="9" t="s">
        <v>859</v>
      </c>
      <c r="E281" s="9" t="s">
        <v>860</v>
      </c>
      <c r="F281" s="9" t="s">
        <v>861</v>
      </c>
      <c r="G281" s="9" t="s">
        <v>14</v>
      </c>
      <c r="H281" s="9" t="s">
        <v>19</v>
      </c>
      <c r="I281" s="9">
        <v>65211759</v>
      </c>
      <c r="J281" s="10">
        <v>44882</v>
      </c>
      <c r="K281" s="9" t="s">
        <v>35</v>
      </c>
      <c r="L281" s="10">
        <v>45420</v>
      </c>
      <c r="M281" s="9" t="s">
        <v>45</v>
      </c>
    </row>
    <row r="282" spans="2:14" x14ac:dyDescent="0.25">
      <c r="B282" s="1">
        <v>278</v>
      </c>
      <c r="C282" s="9" t="s">
        <v>862</v>
      </c>
      <c r="D282" s="9" t="s">
        <v>863</v>
      </c>
      <c r="E282" s="9" t="s">
        <v>864</v>
      </c>
      <c r="F282" s="9" t="s">
        <v>865</v>
      </c>
      <c r="G282" s="9" t="s">
        <v>14</v>
      </c>
      <c r="H282" s="9" t="s">
        <v>19</v>
      </c>
      <c r="I282" s="9">
        <v>66605075</v>
      </c>
      <c r="J282" s="10">
        <v>44957</v>
      </c>
      <c r="K282" s="9" t="s">
        <v>29</v>
      </c>
      <c r="L282" s="10">
        <v>45420</v>
      </c>
      <c r="M282" s="9" t="s">
        <v>45</v>
      </c>
    </row>
    <row r="283" spans="2:14" x14ac:dyDescent="0.25">
      <c r="B283" s="1">
        <v>279</v>
      </c>
      <c r="C283" s="9" t="s">
        <v>866</v>
      </c>
      <c r="D283" s="9" t="s">
        <v>867</v>
      </c>
      <c r="E283" s="9" t="s">
        <v>868</v>
      </c>
      <c r="F283" s="9" t="s">
        <v>869</v>
      </c>
      <c r="G283" s="9" t="s">
        <v>14</v>
      </c>
      <c r="H283" s="9" t="s">
        <v>19</v>
      </c>
      <c r="I283" s="9">
        <v>60303854</v>
      </c>
      <c r="J283" s="10">
        <v>44771</v>
      </c>
      <c r="K283" s="9" t="s">
        <v>29</v>
      </c>
      <c r="L283" s="10">
        <v>45421</v>
      </c>
      <c r="M283" s="9" t="s">
        <v>45</v>
      </c>
    </row>
    <row r="284" spans="2:14" x14ac:dyDescent="0.25">
      <c r="B284" s="1">
        <v>280</v>
      </c>
      <c r="C284" s="9" t="s">
        <v>870</v>
      </c>
      <c r="D284" s="9" t="s">
        <v>871</v>
      </c>
      <c r="E284" s="9" t="s">
        <v>872</v>
      </c>
      <c r="F284" s="9" t="s">
        <v>873</v>
      </c>
      <c r="G284" s="9" t="s">
        <v>14</v>
      </c>
      <c r="H284" s="9" t="s">
        <v>19</v>
      </c>
      <c r="I284" s="9">
        <v>62709732</v>
      </c>
      <c r="J284" s="10">
        <v>44854</v>
      </c>
      <c r="K284" s="9" t="s">
        <v>29</v>
      </c>
      <c r="L284" s="10">
        <v>45421</v>
      </c>
      <c r="M284" s="9" t="s">
        <v>45</v>
      </c>
    </row>
    <row r="285" spans="2:14" x14ac:dyDescent="0.25">
      <c r="B285" s="1">
        <v>281</v>
      </c>
      <c r="C285" s="9" t="s">
        <v>874</v>
      </c>
      <c r="D285" s="9" t="s">
        <v>875</v>
      </c>
      <c r="E285" s="9"/>
      <c r="F285" s="9"/>
      <c r="G285" s="9" t="s">
        <v>14</v>
      </c>
      <c r="H285" s="9" t="s">
        <v>18</v>
      </c>
      <c r="I285" s="9">
        <v>66933144</v>
      </c>
      <c r="J285" s="10">
        <v>44985</v>
      </c>
      <c r="K285" s="9" t="s">
        <v>29</v>
      </c>
      <c r="L285" s="10">
        <v>45421</v>
      </c>
      <c r="M285" s="9" t="s">
        <v>45</v>
      </c>
    </row>
    <row r="286" spans="2:14" x14ac:dyDescent="0.25">
      <c r="B286" s="1">
        <v>282</v>
      </c>
      <c r="C286" s="9" t="s">
        <v>876</v>
      </c>
      <c r="D286" s="9" t="s">
        <v>877</v>
      </c>
      <c r="E286" s="9" t="s">
        <v>878</v>
      </c>
      <c r="F286" s="9" t="s">
        <v>879</v>
      </c>
      <c r="G286" s="9" t="s">
        <v>14</v>
      </c>
      <c r="H286" s="9" t="s">
        <v>18</v>
      </c>
      <c r="I286" s="9">
        <v>63026448</v>
      </c>
      <c r="J286" s="10">
        <v>44867</v>
      </c>
      <c r="K286" s="9" t="s">
        <v>29</v>
      </c>
      <c r="L286" s="10">
        <v>45425</v>
      </c>
      <c r="M286" s="9" t="s">
        <v>45</v>
      </c>
    </row>
    <row r="287" spans="2:14" x14ac:dyDescent="0.25">
      <c r="B287" s="1">
        <v>283</v>
      </c>
      <c r="C287" s="9" t="s">
        <v>881</v>
      </c>
      <c r="D287" s="9" t="s">
        <v>882</v>
      </c>
      <c r="E287" s="9" t="s">
        <v>883</v>
      </c>
      <c r="F287" s="9" t="s">
        <v>884</v>
      </c>
      <c r="G287" s="9" t="s">
        <v>14</v>
      </c>
      <c r="H287" s="9" t="s">
        <v>19</v>
      </c>
      <c r="I287" s="9">
        <v>69280169</v>
      </c>
      <c r="J287" s="10">
        <v>45037</v>
      </c>
      <c r="K287" s="9" t="s">
        <v>30</v>
      </c>
      <c r="L287" s="10">
        <v>45425</v>
      </c>
      <c r="M287" s="9" t="s">
        <v>45</v>
      </c>
    </row>
    <row r="288" spans="2:14" x14ac:dyDescent="0.25">
      <c r="B288" s="1">
        <v>284</v>
      </c>
      <c r="C288" s="9" t="s">
        <v>885</v>
      </c>
      <c r="D288" s="9" t="s">
        <v>886</v>
      </c>
      <c r="E288" s="9" t="s">
        <v>888</v>
      </c>
      <c r="F288" s="9" t="s">
        <v>887</v>
      </c>
      <c r="G288" s="9" t="s">
        <v>14</v>
      </c>
      <c r="H288" s="9" t="s">
        <v>22</v>
      </c>
      <c r="I288" s="9">
        <v>67344632</v>
      </c>
      <c r="J288" s="10">
        <v>44999</v>
      </c>
      <c r="K288" s="9" t="s">
        <v>29</v>
      </c>
      <c r="L288" s="10">
        <v>45426</v>
      </c>
      <c r="M288" s="9" t="s">
        <v>45</v>
      </c>
    </row>
    <row r="289" spans="2:13" x14ac:dyDescent="0.25">
      <c r="B289" s="1">
        <v>285</v>
      </c>
      <c r="C289" s="9" t="s">
        <v>889</v>
      </c>
      <c r="D289" s="9" t="s">
        <v>890</v>
      </c>
      <c r="E289" s="9" t="s">
        <v>891</v>
      </c>
      <c r="F289" s="9" t="s">
        <v>892</v>
      </c>
      <c r="G289" s="9" t="s">
        <v>14</v>
      </c>
      <c r="H289" s="9" t="s">
        <v>22</v>
      </c>
      <c r="I289" s="9">
        <v>64329840</v>
      </c>
      <c r="J289" s="10">
        <v>44902</v>
      </c>
      <c r="K289" s="9" t="s">
        <v>29</v>
      </c>
      <c r="L289" s="10">
        <v>45426</v>
      </c>
      <c r="M289" s="9" t="s">
        <v>45</v>
      </c>
    </row>
    <row r="290" spans="2:13" x14ac:dyDescent="0.25">
      <c r="B290" s="1">
        <v>286</v>
      </c>
      <c r="C290" s="9" t="s">
        <v>893</v>
      </c>
      <c r="D290" s="9" t="s">
        <v>894</v>
      </c>
      <c r="E290" s="9" t="s">
        <v>895</v>
      </c>
      <c r="F290" s="9" t="s">
        <v>896</v>
      </c>
      <c r="G290" s="9" t="s">
        <v>14</v>
      </c>
      <c r="H290" s="9" t="s">
        <v>18</v>
      </c>
      <c r="I290" s="9">
        <v>63535210</v>
      </c>
      <c r="J290" s="10">
        <v>44895</v>
      </c>
      <c r="K290" s="9" t="s">
        <v>29</v>
      </c>
      <c r="L290" s="10"/>
      <c r="M290" s="9" t="s">
        <v>45</v>
      </c>
    </row>
    <row r="291" spans="2:13" x14ac:dyDescent="0.25">
      <c r="B291" s="1">
        <v>287</v>
      </c>
      <c r="C291" s="9" t="s">
        <v>897</v>
      </c>
      <c r="D291" s="9" t="s">
        <v>898</v>
      </c>
      <c r="E291" s="9" t="s">
        <v>899</v>
      </c>
      <c r="F291" s="9" t="s">
        <v>900</v>
      </c>
      <c r="G291" s="9" t="s">
        <v>14</v>
      </c>
      <c r="H291" s="9" t="s">
        <v>18</v>
      </c>
      <c r="I291" s="9">
        <v>62862115</v>
      </c>
      <c r="J291" s="10">
        <v>44862</v>
      </c>
      <c r="K291" s="9" t="s">
        <v>29</v>
      </c>
      <c r="L291" s="10">
        <v>45427</v>
      </c>
      <c r="M291" s="9" t="s">
        <v>45</v>
      </c>
    </row>
    <row r="292" spans="2:13" x14ac:dyDescent="0.25">
      <c r="B292" s="1">
        <v>288</v>
      </c>
      <c r="C292" s="9" t="s">
        <v>901</v>
      </c>
      <c r="D292" s="9" t="s">
        <v>902</v>
      </c>
      <c r="E292" s="9" t="s">
        <v>903</v>
      </c>
      <c r="F292" s="9" t="s">
        <v>904</v>
      </c>
      <c r="G292" s="9" t="s">
        <v>14</v>
      </c>
      <c r="H292" s="9" t="s">
        <v>19</v>
      </c>
      <c r="I292" s="9">
        <v>65174268</v>
      </c>
      <c r="J292" s="10">
        <v>44880</v>
      </c>
      <c r="K292" s="9" t="s">
        <v>29</v>
      </c>
      <c r="L292" s="10">
        <v>45429</v>
      </c>
      <c r="M292" s="9" t="s">
        <v>45</v>
      </c>
    </row>
    <row r="293" spans="2:13" x14ac:dyDescent="0.25">
      <c r="B293" s="1">
        <v>289</v>
      </c>
      <c r="C293" s="9" t="s">
        <v>905</v>
      </c>
      <c r="D293" s="9" t="s">
        <v>906</v>
      </c>
      <c r="E293" s="9"/>
      <c r="F293" s="9"/>
      <c r="G293" s="9" t="s">
        <v>14</v>
      </c>
      <c r="H293" s="9" t="s">
        <v>19</v>
      </c>
      <c r="I293" s="9">
        <v>66689394</v>
      </c>
      <c r="J293" s="10">
        <v>44981</v>
      </c>
      <c r="K293" s="9" t="s">
        <v>29</v>
      </c>
      <c r="L293" s="10">
        <v>45429</v>
      </c>
      <c r="M293" s="9" t="s">
        <v>45</v>
      </c>
    </row>
    <row r="294" spans="2:13" x14ac:dyDescent="0.25">
      <c r="B294" s="1">
        <v>290</v>
      </c>
      <c r="C294" s="9" t="s">
        <v>907</v>
      </c>
      <c r="D294" s="9" t="s">
        <v>908</v>
      </c>
      <c r="E294" s="9"/>
      <c r="F294" s="9"/>
      <c r="G294" s="9" t="s">
        <v>14</v>
      </c>
      <c r="H294" s="9" t="s">
        <v>19</v>
      </c>
      <c r="I294" s="9">
        <v>67374375</v>
      </c>
      <c r="J294" s="10">
        <v>45000</v>
      </c>
      <c r="K294" s="9" t="s">
        <v>29</v>
      </c>
      <c r="L294" s="10">
        <v>45432</v>
      </c>
      <c r="M294" s="9" t="s">
        <v>45</v>
      </c>
    </row>
    <row r="295" spans="2:13" x14ac:dyDescent="0.25">
      <c r="B295" s="1">
        <v>291</v>
      </c>
      <c r="C295" s="9" t="s">
        <v>909</v>
      </c>
      <c r="D295" s="9" t="s">
        <v>911</v>
      </c>
      <c r="E295" s="9" t="s">
        <v>912</v>
      </c>
      <c r="F295" s="9" t="s">
        <v>913</v>
      </c>
      <c r="G295" s="9" t="s">
        <v>14</v>
      </c>
      <c r="H295" s="9" t="s">
        <v>22</v>
      </c>
      <c r="I295" s="9">
        <v>66705625</v>
      </c>
      <c r="J295" s="10">
        <v>44971</v>
      </c>
      <c r="K295" s="9" t="s">
        <v>910</v>
      </c>
      <c r="L295" s="10">
        <v>45432</v>
      </c>
      <c r="M295" s="9" t="s">
        <v>45</v>
      </c>
    </row>
    <row r="296" spans="2:13" x14ac:dyDescent="0.25">
      <c r="B296" s="1">
        <v>292</v>
      </c>
      <c r="C296" s="9" t="s">
        <v>914</v>
      </c>
      <c r="D296" s="9" t="s">
        <v>915</v>
      </c>
      <c r="E296" s="9" t="s">
        <v>916</v>
      </c>
      <c r="F296" s="9" t="s">
        <v>917</v>
      </c>
      <c r="G296" s="9" t="s">
        <v>14</v>
      </c>
      <c r="H296" s="9" t="s">
        <v>21</v>
      </c>
      <c r="I296" s="9">
        <v>59273104</v>
      </c>
      <c r="J296" s="10">
        <v>44816</v>
      </c>
      <c r="K296" s="9" t="s">
        <v>29</v>
      </c>
      <c r="L296" s="10">
        <v>45432</v>
      </c>
      <c r="M296" s="9" t="s">
        <v>45</v>
      </c>
    </row>
    <row r="297" spans="2:13" x14ac:dyDescent="0.25">
      <c r="B297" s="1">
        <v>293</v>
      </c>
      <c r="C297" s="9" t="s">
        <v>918</v>
      </c>
      <c r="D297" s="9" t="s">
        <v>919</v>
      </c>
      <c r="E297" s="9" t="s">
        <v>920</v>
      </c>
      <c r="F297" s="9" t="s">
        <v>921</v>
      </c>
      <c r="G297" s="9" t="s">
        <v>14</v>
      </c>
      <c r="H297" s="9" t="s">
        <v>18</v>
      </c>
      <c r="I297" s="9">
        <v>65372175</v>
      </c>
      <c r="J297" s="10">
        <v>44904</v>
      </c>
      <c r="K297" s="9" t="s">
        <v>29</v>
      </c>
      <c r="L297" s="10">
        <v>45432</v>
      </c>
      <c r="M297" s="9" t="s">
        <v>45</v>
      </c>
    </row>
    <row r="298" spans="2:13" x14ac:dyDescent="0.25">
      <c r="B298" s="1">
        <v>294</v>
      </c>
      <c r="C298" s="9" t="s">
        <v>922</v>
      </c>
      <c r="D298" s="9" t="s">
        <v>923</v>
      </c>
      <c r="E298" s="9" t="s">
        <v>924</v>
      </c>
      <c r="F298" s="9" t="s">
        <v>925</v>
      </c>
      <c r="G298" s="9" t="s">
        <v>14</v>
      </c>
      <c r="H298" s="9" t="s">
        <v>19</v>
      </c>
      <c r="I298" s="9">
        <v>68105660</v>
      </c>
      <c r="J298" s="10">
        <v>45026</v>
      </c>
      <c r="K298" s="9" t="s">
        <v>30</v>
      </c>
      <c r="L298" s="10">
        <v>45432</v>
      </c>
      <c r="M298" s="9" t="s">
        <v>45</v>
      </c>
    </row>
    <row r="299" spans="2:13" x14ac:dyDescent="0.25">
      <c r="B299" s="1">
        <v>295</v>
      </c>
      <c r="C299" s="9" t="s">
        <v>926</v>
      </c>
      <c r="D299" s="9" t="s">
        <v>927</v>
      </c>
      <c r="E299" s="9"/>
      <c r="F299" s="9"/>
      <c r="G299" s="9" t="s">
        <v>14</v>
      </c>
      <c r="H299" s="9" t="s">
        <v>22</v>
      </c>
      <c r="I299" s="9">
        <v>61555809</v>
      </c>
      <c r="J299" s="10">
        <v>44817</v>
      </c>
      <c r="K299" s="9" t="s">
        <v>29</v>
      </c>
      <c r="L299" s="10">
        <v>45432</v>
      </c>
      <c r="M299" s="9" t="s">
        <v>45</v>
      </c>
    </row>
    <row r="300" spans="2:13" x14ac:dyDescent="0.25">
      <c r="B300" s="1">
        <v>296</v>
      </c>
      <c r="C300" s="9" t="s">
        <v>928</v>
      </c>
      <c r="D300" s="9" t="s">
        <v>929</v>
      </c>
      <c r="E300" s="9" t="s">
        <v>931</v>
      </c>
      <c r="F300" s="9" t="s">
        <v>930</v>
      </c>
      <c r="G300" s="9" t="s">
        <v>14</v>
      </c>
      <c r="H300" s="9" t="s">
        <v>19</v>
      </c>
      <c r="I300" s="9">
        <v>61095156</v>
      </c>
      <c r="J300" s="10">
        <v>44803</v>
      </c>
      <c r="K300" s="9" t="s">
        <v>29</v>
      </c>
      <c r="L300" s="10">
        <v>45432</v>
      </c>
      <c r="M300" s="9" t="s">
        <v>45</v>
      </c>
    </row>
    <row r="301" spans="2:13" x14ac:dyDescent="0.25">
      <c r="B301" s="1">
        <v>297</v>
      </c>
      <c r="C301" s="9" t="s">
        <v>932</v>
      </c>
      <c r="D301" s="9" t="s">
        <v>933</v>
      </c>
      <c r="E301" s="9" t="s">
        <v>934</v>
      </c>
      <c r="F301" s="9" t="s">
        <v>935</v>
      </c>
      <c r="G301" s="9" t="s">
        <v>14</v>
      </c>
      <c r="H301" s="9" t="s">
        <v>18</v>
      </c>
      <c r="I301" s="9">
        <v>61014300</v>
      </c>
      <c r="J301" s="10">
        <v>44796</v>
      </c>
      <c r="K301" s="9" t="s">
        <v>29</v>
      </c>
      <c r="L301" s="10">
        <v>45433</v>
      </c>
      <c r="M301" s="9" t="s">
        <v>45</v>
      </c>
    </row>
    <row r="302" spans="2:13" x14ac:dyDescent="0.25">
      <c r="B302" s="1">
        <v>298</v>
      </c>
      <c r="C302" s="9" t="s">
        <v>940</v>
      </c>
      <c r="D302" s="9" t="s">
        <v>941</v>
      </c>
      <c r="E302" s="9" t="s">
        <v>942</v>
      </c>
      <c r="F302" s="9" t="s">
        <v>943</v>
      </c>
      <c r="G302" s="9" t="s">
        <v>14</v>
      </c>
      <c r="H302" s="9" t="s">
        <v>19</v>
      </c>
      <c r="I302" s="9">
        <v>60060744</v>
      </c>
      <c r="J302" s="10">
        <v>44763</v>
      </c>
      <c r="K302" s="9" t="s">
        <v>29</v>
      </c>
      <c r="L302" s="10">
        <v>45433</v>
      </c>
      <c r="M302" s="9" t="s">
        <v>45</v>
      </c>
    </row>
    <row r="303" spans="2:13" x14ac:dyDescent="0.25">
      <c r="B303" s="1">
        <v>299</v>
      </c>
      <c r="C303" s="9" t="s">
        <v>944</v>
      </c>
      <c r="D303" s="9" t="s">
        <v>945</v>
      </c>
      <c r="E303" s="9" t="s">
        <v>946</v>
      </c>
      <c r="F303" s="9" t="s">
        <v>947</v>
      </c>
      <c r="G303" s="9" t="s">
        <v>14</v>
      </c>
      <c r="H303" s="9" t="s">
        <v>20</v>
      </c>
      <c r="I303" s="9">
        <v>64564148</v>
      </c>
      <c r="J303" s="10">
        <v>44942</v>
      </c>
      <c r="K303" s="9" t="s">
        <v>948</v>
      </c>
      <c r="L303" s="10">
        <v>45434</v>
      </c>
      <c r="M303" s="9" t="s">
        <v>45</v>
      </c>
    </row>
    <row r="304" spans="2:13" x14ac:dyDescent="0.25">
      <c r="B304" s="1">
        <v>300</v>
      </c>
      <c r="C304" s="9" t="s">
        <v>949</v>
      </c>
      <c r="D304" s="9" t="s">
        <v>950</v>
      </c>
      <c r="E304" s="9" t="s">
        <v>951</v>
      </c>
      <c r="F304" s="9" t="s">
        <v>952</v>
      </c>
      <c r="G304" s="9" t="s">
        <v>14</v>
      </c>
      <c r="H304" s="9" t="s">
        <v>19</v>
      </c>
      <c r="I304" s="9">
        <v>66440345</v>
      </c>
      <c r="J304" s="10">
        <v>44943</v>
      </c>
      <c r="K304" s="9" t="s">
        <v>235</v>
      </c>
      <c r="L304" s="10">
        <v>45435</v>
      </c>
      <c r="M304" s="9" t="s">
        <v>45</v>
      </c>
    </row>
    <row r="305" spans="2:13" x14ac:dyDescent="0.25">
      <c r="B305" s="1">
        <v>301</v>
      </c>
      <c r="C305" s="9" t="s">
        <v>957</v>
      </c>
      <c r="D305" s="9" t="s">
        <v>958</v>
      </c>
      <c r="E305" s="9" t="s">
        <v>959</v>
      </c>
      <c r="F305" s="9" t="s">
        <v>960</v>
      </c>
      <c r="G305" s="9" t="s">
        <v>14</v>
      </c>
      <c r="H305" s="9" t="s">
        <v>20</v>
      </c>
      <c r="I305" s="9">
        <v>64897065</v>
      </c>
      <c r="J305" s="10">
        <v>44932</v>
      </c>
      <c r="K305" s="9" t="s">
        <v>29</v>
      </c>
      <c r="L305" s="10">
        <v>45435</v>
      </c>
      <c r="M305" s="9" t="s">
        <v>45</v>
      </c>
    </row>
    <row r="306" spans="2:13" x14ac:dyDescent="0.25">
      <c r="B306" s="1">
        <v>302</v>
      </c>
      <c r="C306" s="9" t="s">
        <v>961</v>
      </c>
      <c r="D306" s="9" t="s">
        <v>962</v>
      </c>
      <c r="E306" s="9" t="s">
        <v>963</v>
      </c>
      <c r="F306" s="9" t="s">
        <v>964</v>
      </c>
      <c r="G306" s="9" t="s">
        <v>14</v>
      </c>
      <c r="H306" s="9" t="s">
        <v>19</v>
      </c>
      <c r="I306" s="9">
        <v>67877992</v>
      </c>
      <c r="J306" s="10">
        <v>45014</v>
      </c>
      <c r="K306" s="9" t="s">
        <v>29</v>
      </c>
      <c r="L306" s="10"/>
      <c r="M306" s="9" t="s">
        <v>45</v>
      </c>
    </row>
    <row r="307" spans="2:13" x14ac:dyDescent="0.25">
      <c r="B307" s="1">
        <v>303</v>
      </c>
      <c r="C307" s="9" t="s">
        <v>965</v>
      </c>
      <c r="D307" s="9" t="s">
        <v>966</v>
      </c>
      <c r="E307" s="9" t="s">
        <v>967</v>
      </c>
      <c r="F307" s="9" t="s">
        <v>968</v>
      </c>
      <c r="G307" s="9" t="s">
        <v>257</v>
      </c>
      <c r="H307" s="9" t="s">
        <v>19</v>
      </c>
      <c r="I307" s="9">
        <v>39967569</v>
      </c>
      <c r="J307" s="10">
        <v>43880</v>
      </c>
      <c r="K307" s="9" t="s">
        <v>57</v>
      </c>
      <c r="L307" s="10">
        <v>45435</v>
      </c>
      <c r="M307" s="9" t="s">
        <v>45</v>
      </c>
    </row>
    <row r="308" spans="2:13" x14ac:dyDescent="0.25">
      <c r="B308" s="1">
        <v>304</v>
      </c>
      <c r="C308" s="9" t="s">
        <v>969</v>
      </c>
      <c r="D308" s="9" t="s">
        <v>970</v>
      </c>
      <c r="E308" s="9" t="s">
        <v>971</v>
      </c>
      <c r="F308" s="9" t="s">
        <v>972</v>
      </c>
      <c r="G308" s="9" t="s">
        <v>14</v>
      </c>
      <c r="H308" s="9" t="s">
        <v>19</v>
      </c>
      <c r="I308" s="9">
        <v>61555166</v>
      </c>
      <c r="J308" s="10">
        <v>44813</v>
      </c>
      <c r="K308" s="9" t="s">
        <v>29</v>
      </c>
      <c r="L308" s="10">
        <v>45439</v>
      </c>
      <c r="M308" s="9" t="s">
        <v>45</v>
      </c>
    </row>
    <row r="309" spans="2:13" x14ac:dyDescent="0.25">
      <c r="B309" s="1">
        <v>305</v>
      </c>
      <c r="C309" s="9" t="s">
        <v>973</v>
      </c>
      <c r="D309" s="9" t="s">
        <v>974</v>
      </c>
      <c r="E309" s="9" t="s">
        <v>975</v>
      </c>
      <c r="F309" s="9" t="s">
        <v>976</v>
      </c>
      <c r="G309" s="9" t="s">
        <v>14</v>
      </c>
      <c r="H309" s="9" t="s">
        <v>19</v>
      </c>
      <c r="I309" s="9">
        <v>67781908</v>
      </c>
      <c r="J309" s="10">
        <v>45015</v>
      </c>
      <c r="K309" s="9" t="s">
        <v>29</v>
      </c>
      <c r="L309" s="10">
        <v>45439</v>
      </c>
      <c r="M309" s="9" t="s">
        <v>45</v>
      </c>
    </row>
    <row r="310" spans="2:13" x14ac:dyDescent="0.25">
      <c r="B310" s="1">
        <v>306</v>
      </c>
      <c r="C310" s="9" t="s">
        <v>977</v>
      </c>
      <c r="D310" s="9" t="s">
        <v>978</v>
      </c>
      <c r="E310" s="9" t="s">
        <v>979</v>
      </c>
      <c r="F310" s="9" t="s">
        <v>980</v>
      </c>
      <c r="G310" s="9" t="s">
        <v>14</v>
      </c>
      <c r="H310" s="9" t="s">
        <v>19</v>
      </c>
      <c r="I310" s="9">
        <v>60418553</v>
      </c>
      <c r="J310" s="10">
        <v>44774</v>
      </c>
      <c r="K310" s="9" t="s">
        <v>29</v>
      </c>
      <c r="L310" s="10">
        <v>45439</v>
      </c>
      <c r="M310" s="9" t="s">
        <v>45</v>
      </c>
    </row>
    <row r="311" spans="2:13" x14ac:dyDescent="0.25">
      <c r="B311" s="1">
        <v>307</v>
      </c>
      <c r="C311" s="9" t="s">
        <v>981</v>
      </c>
      <c r="D311" s="9" t="s">
        <v>982</v>
      </c>
      <c r="E311" s="9"/>
      <c r="F311" s="9"/>
      <c r="G311" s="9" t="s">
        <v>14</v>
      </c>
      <c r="H311" s="9" t="s">
        <v>19</v>
      </c>
      <c r="I311" s="9">
        <v>61520516</v>
      </c>
      <c r="J311" s="10">
        <v>44812</v>
      </c>
      <c r="K311" s="9" t="s">
        <v>29</v>
      </c>
      <c r="L311" s="10">
        <v>45440</v>
      </c>
      <c r="M311" s="9" t="s">
        <v>45</v>
      </c>
    </row>
    <row r="312" spans="2:13" x14ac:dyDescent="0.25">
      <c r="B312" s="1">
        <v>308</v>
      </c>
      <c r="C312" s="9" t="s">
        <v>983</v>
      </c>
      <c r="D312" s="9" t="s">
        <v>984</v>
      </c>
      <c r="E312" s="16" t="s">
        <v>986</v>
      </c>
      <c r="F312" s="9" t="s">
        <v>985</v>
      </c>
      <c r="G312" s="9" t="s">
        <v>14</v>
      </c>
      <c r="H312" s="9" t="s">
        <v>18</v>
      </c>
      <c r="I312" s="9">
        <v>66684424</v>
      </c>
      <c r="J312" s="10">
        <v>44942</v>
      </c>
      <c r="K312" s="9" t="s">
        <v>29</v>
      </c>
      <c r="L312" s="10">
        <v>45440</v>
      </c>
      <c r="M312" s="9" t="s">
        <v>45</v>
      </c>
    </row>
    <row r="313" spans="2:13" x14ac:dyDescent="0.25">
      <c r="B313" s="1">
        <v>309</v>
      </c>
      <c r="C313" s="9" t="s">
        <v>987</v>
      </c>
      <c r="D313" s="9" t="s">
        <v>988</v>
      </c>
      <c r="E313" s="9"/>
      <c r="F313" s="9"/>
      <c r="G313" s="9" t="s">
        <v>14</v>
      </c>
      <c r="H313" s="9" t="s">
        <v>19</v>
      </c>
      <c r="I313" s="9">
        <v>66557068</v>
      </c>
      <c r="J313" s="10">
        <v>44987</v>
      </c>
      <c r="K313" s="9" t="s">
        <v>29</v>
      </c>
      <c r="L313" s="10">
        <v>45442</v>
      </c>
      <c r="M313" s="9" t="s">
        <v>45</v>
      </c>
    </row>
    <row r="314" spans="2:13" x14ac:dyDescent="0.25">
      <c r="B314" s="1">
        <v>310</v>
      </c>
      <c r="C314" s="9" t="s">
        <v>989</v>
      </c>
      <c r="D314" s="9" t="s">
        <v>990</v>
      </c>
      <c r="E314" s="9"/>
      <c r="F314" s="9"/>
      <c r="G314" s="9" t="s">
        <v>14</v>
      </c>
      <c r="H314" s="9" t="s">
        <v>23</v>
      </c>
      <c r="I314" s="9">
        <v>69388066</v>
      </c>
      <c r="J314" s="10">
        <v>45041</v>
      </c>
      <c r="K314" s="9" t="s">
        <v>29</v>
      </c>
      <c r="L314" s="10">
        <v>45442</v>
      </c>
      <c r="M314" s="9" t="s">
        <v>45</v>
      </c>
    </row>
    <row r="315" spans="2:13" x14ac:dyDescent="0.25">
      <c r="B315" s="1">
        <v>311</v>
      </c>
      <c r="C315" s="9" t="s">
        <v>991</v>
      </c>
      <c r="D315" s="9" t="s">
        <v>992</v>
      </c>
      <c r="E315" s="16" t="s">
        <v>994</v>
      </c>
      <c r="F315" s="35" t="s">
        <v>993</v>
      </c>
      <c r="G315" s="9" t="s">
        <v>14</v>
      </c>
      <c r="H315" s="9" t="s">
        <v>18</v>
      </c>
      <c r="I315" s="9">
        <v>61406639</v>
      </c>
      <c r="J315" s="10">
        <v>44882</v>
      </c>
      <c r="K315" s="9" t="s">
        <v>29</v>
      </c>
      <c r="L315" s="10">
        <v>45442</v>
      </c>
      <c r="M315" s="9" t="s">
        <v>45</v>
      </c>
    </row>
    <row r="316" spans="2:13" x14ac:dyDescent="0.25">
      <c r="B316" s="1">
        <v>312</v>
      </c>
      <c r="C316" s="9" t="s">
        <v>995</v>
      </c>
      <c r="D316" s="9" t="s">
        <v>996</v>
      </c>
      <c r="E316" s="9" t="s">
        <v>997</v>
      </c>
      <c r="F316" s="9" t="s">
        <v>998</v>
      </c>
      <c r="G316" s="9" t="s">
        <v>14</v>
      </c>
      <c r="H316" s="9" t="s">
        <v>22</v>
      </c>
      <c r="I316" s="9">
        <v>67115283</v>
      </c>
      <c r="J316" s="10">
        <v>44993</v>
      </c>
      <c r="K316" s="9" t="s">
        <v>29</v>
      </c>
      <c r="L316" s="10">
        <v>45442</v>
      </c>
      <c r="M316" s="9" t="s">
        <v>45</v>
      </c>
    </row>
    <row r="317" spans="2:13" x14ac:dyDescent="0.25">
      <c r="B317" s="1">
        <v>313</v>
      </c>
      <c r="C317" s="9" t="s">
        <v>999</v>
      </c>
      <c r="D317" s="9" t="s">
        <v>1000</v>
      </c>
      <c r="E317" s="9" t="s">
        <v>1001</v>
      </c>
      <c r="F317" s="9" t="s">
        <v>1002</v>
      </c>
      <c r="G317" s="9" t="s">
        <v>14</v>
      </c>
      <c r="H317" s="9" t="s">
        <v>19</v>
      </c>
      <c r="I317" s="9">
        <v>66367620</v>
      </c>
      <c r="J317" s="10">
        <v>44924</v>
      </c>
      <c r="K317" s="9" t="s">
        <v>29</v>
      </c>
      <c r="L317" s="10">
        <v>45442</v>
      </c>
      <c r="M317" s="9" t="s">
        <v>45</v>
      </c>
    </row>
    <row r="318" spans="2:13" x14ac:dyDescent="0.25">
      <c r="B318" s="1">
        <v>314</v>
      </c>
      <c r="C318" s="9" t="s">
        <v>1007</v>
      </c>
      <c r="D318" s="9" t="s">
        <v>1008</v>
      </c>
      <c r="E318" s="9" t="s">
        <v>1009</v>
      </c>
      <c r="F318" s="9" t="s">
        <v>1010</v>
      </c>
      <c r="G318" s="9" t="s">
        <v>14</v>
      </c>
      <c r="H318" s="9" t="s">
        <v>18</v>
      </c>
      <c r="I318" s="9">
        <v>66333861</v>
      </c>
      <c r="J318" s="10">
        <v>44942</v>
      </c>
      <c r="K318" s="9" t="s">
        <v>29</v>
      </c>
      <c r="L318" s="10">
        <v>45453</v>
      </c>
      <c r="M318" s="9" t="s">
        <v>45</v>
      </c>
    </row>
    <row r="319" spans="2:13" x14ac:dyDescent="0.25">
      <c r="B319" s="1">
        <v>315</v>
      </c>
      <c r="C319" s="9" t="s">
        <v>1011</v>
      </c>
      <c r="D319" s="9" t="s">
        <v>1012</v>
      </c>
      <c r="E319" s="9" t="s">
        <v>1013</v>
      </c>
      <c r="F319" s="9" t="s">
        <v>1014</v>
      </c>
      <c r="G319" s="9" t="s">
        <v>14</v>
      </c>
      <c r="H319" s="9" t="s">
        <v>19</v>
      </c>
      <c r="I319" s="9">
        <v>62491566</v>
      </c>
      <c r="J319" s="10">
        <v>44834</v>
      </c>
      <c r="K319" s="9" t="s">
        <v>29</v>
      </c>
      <c r="L319" s="10">
        <v>45453</v>
      </c>
      <c r="M319" s="9" t="s">
        <v>45</v>
      </c>
    </row>
    <row r="320" spans="2:13" x14ac:dyDescent="0.25">
      <c r="B320" s="1">
        <v>316</v>
      </c>
      <c r="C320" s="9" t="s">
        <v>1015</v>
      </c>
      <c r="D320" s="9" t="s">
        <v>1016</v>
      </c>
      <c r="E320" s="9" t="s">
        <v>1017</v>
      </c>
      <c r="F320" s="9" t="s">
        <v>1018</v>
      </c>
      <c r="G320" s="9" t="s">
        <v>14</v>
      </c>
      <c r="H320" s="9" t="s">
        <v>18</v>
      </c>
      <c r="I320" s="9">
        <v>66773315</v>
      </c>
      <c r="J320" s="10">
        <v>44974</v>
      </c>
      <c r="K320" s="9" t="s">
        <v>910</v>
      </c>
      <c r="L320" s="10">
        <v>45453</v>
      </c>
      <c r="M320" s="9" t="s">
        <v>45</v>
      </c>
    </row>
    <row r="321" spans="2:14" x14ac:dyDescent="0.25">
      <c r="B321" s="1">
        <v>317</v>
      </c>
      <c r="C321" s="9" t="s">
        <v>1019</v>
      </c>
      <c r="D321" s="9" t="s">
        <v>1020</v>
      </c>
      <c r="E321" s="9" t="s">
        <v>1021</v>
      </c>
      <c r="F321" s="9" t="s">
        <v>1022</v>
      </c>
      <c r="G321" s="9" t="s">
        <v>14</v>
      </c>
      <c r="H321" s="9" t="s">
        <v>19</v>
      </c>
      <c r="I321" s="9">
        <v>59480075</v>
      </c>
      <c r="J321" s="10">
        <v>44784</v>
      </c>
      <c r="K321" s="9" t="s">
        <v>29</v>
      </c>
      <c r="L321" s="10">
        <v>45454</v>
      </c>
      <c r="M321" s="9" t="s">
        <v>45</v>
      </c>
    </row>
    <row r="322" spans="2:14" x14ac:dyDescent="0.25">
      <c r="B322" s="1">
        <v>318</v>
      </c>
      <c r="C322" s="9" t="s">
        <v>1024</v>
      </c>
      <c r="D322" s="9" t="s">
        <v>1023</v>
      </c>
      <c r="E322" s="9"/>
      <c r="F322" s="9"/>
      <c r="G322" s="9" t="s">
        <v>14</v>
      </c>
      <c r="H322" s="9" t="s">
        <v>18</v>
      </c>
      <c r="I322" s="9">
        <v>66157368</v>
      </c>
      <c r="J322" s="10">
        <v>44932</v>
      </c>
      <c r="K322" s="9" t="s">
        <v>29</v>
      </c>
      <c r="L322" s="10">
        <v>45454</v>
      </c>
      <c r="M322" s="9" t="s">
        <v>45</v>
      </c>
    </row>
    <row r="323" spans="2:14" x14ac:dyDescent="0.25">
      <c r="B323" s="1">
        <v>319</v>
      </c>
      <c r="C323" s="9" t="s">
        <v>1025</v>
      </c>
      <c r="D323" s="9" t="s">
        <v>1026</v>
      </c>
      <c r="E323" s="9" t="s">
        <v>1027</v>
      </c>
      <c r="F323" s="9" t="s">
        <v>1028</v>
      </c>
      <c r="G323" s="9" t="s">
        <v>14</v>
      </c>
      <c r="H323" s="9" t="s">
        <v>19</v>
      </c>
      <c r="I323" s="9">
        <v>67693799</v>
      </c>
      <c r="J323" s="10">
        <v>45012</v>
      </c>
      <c r="K323" s="9" t="s">
        <v>29</v>
      </c>
      <c r="L323" s="10">
        <v>45454</v>
      </c>
      <c r="M323" s="9" t="s">
        <v>45</v>
      </c>
    </row>
    <row r="324" spans="2:14" x14ac:dyDescent="0.25">
      <c r="B324" s="1">
        <v>320</v>
      </c>
      <c r="C324" s="9" t="s">
        <v>1029</v>
      </c>
      <c r="D324" s="9" t="s">
        <v>1030</v>
      </c>
      <c r="E324" s="9" t="s">
        <v>1031</v>
      </c>
      <c r="F324" s="9" t="s">
        <v>1032</v>
      </c>
      <c r="G324" s="9" t="s">
        <v>181</v>
      </c>
      <c r="H324" s="9" t="s">
        <v>19</v>
      </c>
      <c r="I324" s="9">
        <v>26099359</v>
      </c>
      <c r="J324" s="10">
        <v>43325</v>
      </c>
      <c r="K324" s="9" t="s">
        <v>31</v>
      </c>
      <c r="L324" s="10">
        <v>45454</v>
      </c>
      <c r="M324" s="9" t="s">
        <v>45</v>
      </c>
    </row>
    <row r="325" spans="2:14" x14ac:dyDescent="0.25">
      <c r="B325" s="1">
        <v>321</v>
      </c>
      <c r="C325" s="9" t="s">
        <v>1033</v>
      </c>
      <c r="D325" s="9" t="s">
        <v>1034</v>
      </c>
      <c r="E325" s="9" t="s">
        <v>1035</v>
      </c>
      <c r="F325" s="9" t="s">
        <v>1036</v>
      </c>
      <c r="G325" s="9" t="s">
        <v>14</v>
      </c>
      <c r="H325" s="9" t="s">
        <v>19</v>
      </c>
      <c r="I325" s="9">
        <v>68188216</v>
      </c>
      <c r="J325" s="10">
        <v>45058</v>
      </c>
      <c r="K325" s="9" t="s">
        <v>29</v>
      </c>
      <c r="L325" s="10">
        <v>45455</v>
      </c>
      <c r="M325" s="9" t="s">
        <v>45</v>
      </c>
    </row>
    <row r="326" spans="2:14" x14ac:dyDescent="0.25">
      <c r="B326" s="1">
        <v>322</v>
      </c>
      <c r="C326" s="9" t="s">
        <v>1037</v>
      </c>
      <c r="D326" s="9" t="s">
        <v>1038</v>
      </c>
      <c r="E326" s="9" t="s">
        <v>1039</v>
      </c>
      <c r="F326" s="9" t="s">
        <v>1040</v>
      </c>
      <c r="G326" s="9" t="s">
        <v>14</v>
      </c>
      <c r="H326" s="9" t="s">
        <v>19</v>
      </c>
      <c r="I326" s="9">
        <v>62860724</v>
      </c>
      <c r="J326" s="10">
        <v>44860</v>
      </c>
      <c r="K326" s="9" t="s">
        <v>29</v>
      </c>
      <c r="L326" s="10">
        <v>45456</v>
      </c>
      <c r="M326" s="9" t="s">
        <v>45</v>
      </c>
    </row>
    <row r="327" spans="2:14" x14ac:dyDescent="0.25">
      <c r="B327" s="1">
        <v>323</v>
      </c>
      <c r="C327" s="9" t="s">
        <v>1041</v>
      </c>
      <c r="D327" s="9" t="s">
        <v>1042</v>
      </c>
      <c r="E327" s="9"/>
      <c r="F327" s="9"/>
      <c r="G327" s="9" t="s">
        <v>14</v>
      </c>
      <c r="H327" s="9" t="s">
        <v>19</v>
      </c>
      <c r="I327" s="9">
        <v>62380311</v>
      </c>
      <c r="J327" s="10">
        <v>44840</v>
      </c>
      <c r="K327" s="9" t="s">
        <v>29</v>
      </c>
      <c r="L327" s="10">
        <v>45456</v>
      </c>
      <c r="M327" s="9" t="s">
        <v>45</v>
      </c>
    </row>
    <row r="328" spans="2:14" x14ac:dyDescent="0.25">
      <c r="B328" s="1">
        <v>324</v>
      </c>
      <c r="C328" s="9" t="s">
        <v>1043</v>
      </c>
      <c r="D328" s="9" t="s">
        <v>1044</v>
      </c>
      <c r="E328" s="9" t="s">
        <v>1045</v>
      </c>
      <c r="F328" s="9" t="s">
        <v>1046</v>
      </c>
      <c r="G328" s="9" t="s">
        <v>14</v>
      </c>
      <c r="H328" s="9" t="s">
        <v>19</v>
      </c>
      <c r="I328" s="9">
        <v>67176875</v>
      </c>
      <c r="J328" s="10">
        <v>44993</v>
      </c>
      <c r="K328" s="9" t="s">
        <v>29</v>
      </c>
      <c r="L328" s="10">
        <v>45457</v>
      </c>
      <c r="M328" s="9" t="s">
        <v>45</v>
      </c>
    </row>
    <row r="329" spans="2:14" x14ac:dyDescent="0.25">
      <c r="B329" s="1">
        <v>325</v>
      </c>
      <c r="C329" s="9" t="s">
        <v>1047</v>
      </c>
      <c r="D329" s="9" t="s">
        <v>1048</v>
      </c>
      <c r="E329" s="9" t="s">
        <v>1049</v>
      </c>
      <c r="F329" s="9" t="s">
        <v>1050</v>
      </c>
      <c r="G329" s="9" t="s">
        <v>14</v>
      </c>
      <c r="H329" s="9" t="s">
        <v>18</v>
      </c>
      <c r="I329" s="9">
        <v>60283944</v>
      </c>
      <c r="J329" s="10">
        <v>44770</v>
      </c>
      <c r="K329" s="9" t="s">
        <v>29</v>
      </c>
      <c r="L329" s="10">
        <v>45457</v>
      </c>
      <c r="M329" s="9" t="s">
        <v>45</v>
      </c>
    </row>
    <row r="330" spans="2:14" x14ac:dyDescent="0.25">
      <c r="B330" s="1">
        <v>326</v>
      </c>
      <c r="C330" s="9" t="s">
        <v>1051</v>
      </c>
      <c r="D330" s="9" t="s">
        <v>1052</v>
      </c>
      <c r="E330" s="9" t="s">
        <v>1053</v>
      </c>
      <c r="F330" s="9"/>
      <c r="G330" s="9" t="s">
        <v>14</v>
      </c>
      <c r="H330" s="9" t="s">
        <v>19</v>
      </c>
      <c r="I330" s="9">
        <v>65179836</v>
      </c>
      <c r="J330" s="10">
        <v>44880</v>
      </c>
      <c r="K330" s="9" t="s">
        <v>29</v>
      </c>
      <c r="L330" s="10">
        <v>45457</v>
      </c>
      <c r="M330" s="9" t="s">
        <v>45</v>
      </c>
    </row>
    <row r="331" spans="2:14" x14ac:dyDescent="0.25">
      <c r="B331" s="1">
        <v>327</v>
      </c>
      <c r="C331" s="9" t="s">
        <v>1056</v>
      </c>
      <c r="D331" s="9" t="s">
        <v>1057</v>
      </c>
      <c r="E331" s="9" t="s">
        <v>1058</v>
      </c>
      <c r="F331" s="9" t="s">
        <v>1059</v>
      </c>
      <c r="G331" s="9" t="s">
        <v>14</v>
      </c>
      <c r="H331" s="9" t="s">
        <v>18</v>
      </c>
      <c r="I331" s="9">
        <v>45641076</v>
      </c>
      <c r="J331" s="10">
        <v>44202</v>
      </c>
      <c r="K331" s="9" t="s">
        <v>57</v>
      </c>
      <c r="L331" s="10">
        <v>45457</v>
      </c>
      <c r="M331" s="9" t="s">
        <v>45</v>
      </c>
    </row>
    <row r="332" spans="2:14" x14ac:dyDescent="0.25">
      <c r="B332" s="1">
        <v>328</v>
      </c>
      <c r="C332" s="9" t="s">
        <v>1063</v>
      </c>
      <c r="D332" s="9" t="s">
        <v>1064</v>
      </c>
      <c r="E332" s="9" t="s">
        <v>1065</v>
      </c>
      <c r="F332" s="9" t="s">
        <v>1066</v>
      </c>
      <c r="G332" s="9" t="s">
        <v>521</v>
      </c>
      <c r="H332" s="9" t="s">
        <v>22</v>
      </c>
      <c r="I332" s="9">
        <v>47764819</v>
      </c>
      <c r="J332" s="10">
        <v>44252</v>
      </c>
      <c r="K332" s="9" t="s">
        <v>31</v>
      </c>
      <c r="L332" s="10">
        <v>45460</v>
      </c>
      <c r="M332" s="9" t="s">
        <v>45</v>
      </c>
    </row>
    <row r="333" spans="2:14" x14ac:dyDescent="0.25">
      <c r="B333" s="1">
        <v>329</v>
      </c>
      <c r="C333" s="9">
        <v>1722875281</v>
      </c>
      <c r="D333" s="9" t="s">
        <v>1067</v>
      </c>
      <c r="E333" s="16" t="s">
        <v>1068</v>
      </c>
      <c r="F333" s="9">
        <v>998800139</v>
      </c>
      <c r="G333" s="9" t="s">
        <v>14</v>
      </c>
      <c r="H333" s="9" t="s">
        <v>24</v>
      </c>
      <c r="I333" s="9">
        <v>64686681</v>
      </c>
      <c r="J333" s="10">
        <v>44908</v>
      </c>
      <c r="K333" s="9" t="s">
        <v>235</v>
      </c>
      <c r="L333" s="10">
        <v>45460</v>
      </c>
      <c r="M333" s="9" t="s">
        <v>45</v>
      </c>
    </row>
    <row r="334" spans="2:14" x14ac:dyDescent="0.25">
      <c r="B334" s="1">
        <v>330</v>
      </c>
      <c r="C334" s="9" t="s">
        <v>1069</v>
      </c>
      <c r="D334" s="9" t="s">
        <v>1070</v>
      </c>
      <c r="E334" s="9" t="s">
        <v>1071</v>
      </c>
      <c r="F334" s="9" t="s">
        <v>1072</v>
      </c>
      <c r="G334" s="9" t="s">
        <v>257</v>
      </c>
      <c r="H334" s="9" t="s">
        <v>19</v>
      </c>
      <c r="I334" s="9">
        <v>37546310</v>
      </c>
      <c r="J334" s="10">
        <v>43776</v>
      </c>
      <c r="K334" s="9" t="s">
        <v>57</v>
      </c>
      <c r="L334" s="10">
        <v>45460</v>
      </c>
      <c r="M334" s="9" t="s">
        <v>45</v>
      </c>
    </row>
    <row r="335" spans="2:14" x14ac:dyDescent="0.25">
      <c r="B335" s="1">
        <v>331</v>
      </c>
      <c r="C335" s="9" t="s">
        <v>1073</v>
      </c>
      <c r="D335" s="9" t="s">
        <v>1074</v>
      </c>
      <c r="E335" s="9" t="s">
        <v>1075</v>
      </c>
      <c r="F335" s="9" t="s">
        <v>1076</v>
      </c>
      <c r="G335" s="9" t="s">
        <v>14</v>
      </c>
      <c r="H335" s="9" t="s">
        <v>18</v>
      </c>
      <c r="I335" s="9"/>
      <c r="J335" s="10">
        <v>44875</v>
      </c>
      <c r="K335" s="9" t="s">
        <v>29</v>
      </c>
      <c r="L335" s="10">
        <v>45460</v>
      </c>
      <c r="M335" s="9" t="s">
        <v>45</v>
      </c>
    </row>
    <row r="336" spans="2:14" x14ac:dyDescent="0.25">
      <c r="B336" s="1">
        <v>332</v>
      </c>
      <c r="C336" s="9" t="s">
        <v>1080</v>
      </c>
      <c r="D336" s="9" t="s">
        <v>1081</v>
      </c>
      <c r="E336" s="9" t="s">
        <v>1082</v>
      </c>
      <c r="F336" s="9" t="s">
        <v>1083</v>
      </c>
      <c r="G336" s="9" t="s">
        <v>14</v>
      </c>
      <c r="H336" s="9" t="s">
        <v>19</v>
      </c>
      <c r="I336" s="9">
        <v>60765895</v>
      </c>
      <c r="J336" s="10">
        <v>44847</v>
      </c>
      <c r="K336" s="9" t="s">
        <v>29</v>
      </c>
      <c r="L336" s="10">
        <v>45461</v>
      </c>
      <c r="M336" s="9" t="s">
        <v>45</v>
      </c>
      <c r="N336" s="9"/>
    </row>
    <row r="337" spans="2:14" x14ac:dyDescent="0.25">
      <c r="B337" s="1">
        <v>333</v>
      </c>
      <c r="C337" s="9" t="s">
        <v>936</v>
      </c>
      <c r="D337" s="9" t="s">
        <v>937</v>
      </c>
      <c r="E337" s="36" t="s">
        <v>938</v>
      </c>
      <c r="F337" s="9" t="s">
        <v>939</v>
      </c>
      <c r="G337" s="9" t="s">
        <v>14</v>
      </c>
      <c r="H337" s="9" t="s">
        <v>24</v>
      </c>
      <c r="I337" s="9">
        <v>68361633</v>
      </c>
      <c r="J337" s="10">
        <v>45030</v>
      </c>
      <c r="K337" s="9" t="s">
        <v>29</v>
      </c>
      <c r="L337" s="10">
        <v>45433</v>
      </c>
      <c r="M337" s="9" t="s">
        <v>45</v>
      </c>
    </row>
    <row r="338" spans="2:14" x14ac:dyDescent="0.25">
      <c r="B338" s="1">
        <v>334</v>
      </c>
      <c r="C338" s="9" t="s">
        <v>1084</v>
      </c>
      <c r="D338" s="9" t="s">
        <v>1085</v>
      </c>
      <c r="E338" s="9" t="s">
        <v>1086</v>
      </c>
      <c r="F338" s="9" t="s">
        <v>1087</v>
      </c>
      <c r="G338" s="9" t="s">
        <v>14</v>
      </c>
      <c r="H338" s="9" t="s">
        <v>19</v>
      </c>
      <c r="I338" s="9">
        <v>67754524</v>
      </c>
      <c r="J338" s="10">
        <v>45020</v>
      </c>
      <c r="K338" s="9" t="s">
        <v>29</v>
      </c>
      <c r="L338" s="10">
        <v>45461</v>
      </c>
      <c r="M338" s="9" t="s">
        <v>45</v>
      </c>
      <c r="N338" s="9"/>
    </row>
    <row r="339" spans="2:14" x14ac:dyDescent="0.25">
      <c r="B339" s="1">
        <v>335</v>
      </c>
      <c r="C339" s="9" t="s">
        <v>1088</v>
      </c>
      <c r="D339" s="9" t="s">
        <v>1089</v>
      </c>
      <c r="E339" s="9"/>
      <c r="F339" s="9"/>
      <c r="G339" s="9" t="s">
        <v>14</v>
      </c>
      <c r="H339" s="9" t="s">
        <v>19</v>
      </c>
      <c r="I339" s="9">
        <v>66561459</v>
      </c>
      <c r="J339" s="10">
        <v>44949</v>
      </c>
      <c r="K339" s="9" t="s">
        <v>29</v>
      </c>
      <c r="L339" s="10">
        <v>45462</v>
      </c>
      <c r="M339" s="9" t="s">
        <v>45</v>
      </c>
      <c r="N339" s="9"/>
    </row>
    <row r="340" spans="2:14" x14ac:dyDescent="0.25">
      <c r="B340" s="1">
        <v>336</v>
      </c>
      <c r="C340" s="9" t="s">
        <v>1090</v>
      </c>
      <c r="D340" s="9" t="s">
        <v>1091</v>
      </c>
      <c r="E340" s="9" t="s">
        <v>1092</v>
      </c>
      <c r="F340" s="9" t="s">
        <v>1093</v>
      </c>
      <c r="G340" s="9" t="s">
        <v>14</v>
      </c>
      <c r="H340" s="9" t="s">
        <v>19</v>
      </c>
      <c r="I340" s="9">
        <v>65054602</v>
      </c>
      <c r="J340" s="10">
        <v>44964</v>
      </c>
      <c r="K340" s="9" t="s">
        <v>29</v>
      </c>
      <c r="L340" s="10">
        <v>45462</v>
      </c>
      <c r="M340" s="9" t="s">
        <v>45</v>
      </c>
      <c r="N340" s="9"/>
    </row>
    <row r="341" spans="2:14" x14ac:dyDescent="0.25">
      <c r="B341" s="1">
        <v>337</v>
      </c>
      <c r="C341" s="9" t="s">
        <v>1094</v>
      </c>
      <c r="D341" s="9" t="s">
        <v>1095</v>
      </c>
      <c r="E341" s="9" t="s">
        <v>1096</v>
      </c>
      <c r="F341" s="9" t="s">
        <v>1097</v>
      </c>
      <c r="G341" s="9" t="s">
        <v>14</v>
      </c>
      <c r="H341" s="9" t="s">
        <v>18</v>
      </c>
      <c r="I341" s="9">
        <v>68163282</v>
      </c>
      <c r="J341" s="10">
        <v>45029</v>
      </c>
      <c r="K341" s="9" t="s">
        <v>33</v>
      </c>
      <c r="L341" s="10">
        <v>45463</v>
      </c>
      <c r="M341" s="9" t="s">
        <v>45</v>
      </c>
      <c r="N341" s="9"/>
    </row>
    <row r="342" spans="2:14" x14ac:dyDescent="0.25">
      <c r="B342" s="1">
        <v>338</v>
      </c>
      <c r="C342" s="9" t="s">
        <v>1098</v>
      </c>
      <c r="D342" s="9" t="s">
        <v>1099</v>
      </c>
      <c r="E342" s="9" t="s">
        <v>1100</v>
      </c>
      <c r="F342" s="9"/>
      <c r="G342" s="9" t="s">
        <v>14</v>
      </c>
      <c r="H342" s="9" t="s">
        <v>19</v>
      </c>
      <c r="I342" s="9">
        <v>66318903</v>
      </c>
      <c r="J342" s="10">
        <v>44937</v>
      </c>
      <c r="K342" s="9" t="s">
        <v>29</v>
      </c>
      <c r="L342" s="10">
        <v>45463</v>
      </c>
      <c r="M342" s="9" t="s">
        <v>45</v>
      </c>
      <c r="N342" s="9"/>
    </row>
    <row r="343" spans="2:14" x14ac:dyDescent="0.25">
      <c r="B343" s="1">
        <v>339</v>
      </c>
      <c r="C343" s="9" t="s">
        <v>1101</v>
      </c>
      <c r="D343" s="9" t="s">
        <v>1102</v>
      </c>
      <c r="E343" s="9" t="s">
        <v>1103</v>
      </c>
      <c r="F343" s="9" t="s">
        <v>1104</v>
      </c>
      <c r="G343" s="9" t="s">
        <v>14</v>
      </c>
      <c r="H343" s="9" t="s">
        <v>19</v>
      </c>
      <c r="I343" s="9">
        <v>64688545</v>
      </c>
      <c r="J343" s="10">
        <v>44909</v>
      </c>
      <c r="K343" s="9" t="s">
        <v>36</v>
      </c>
      <c r="L343" s="10">
        <v>45463</v>
      </c>
      <c r="M343" s="9" t="s">
        <v>45</v>
      </c>
      <c r="N343" s="9"/>
    </row>
    <row r="344" spans="2:14" x14ac:dyDescent="0.25">
      <c r="B344" s="1">
        <v>340</v>
      </c>
      <c r="C344" s="9" t="s">
        <v>1105</v>
      </c>
      <c r="D344" s="9" t="s">
        <v>1106</v>
      </c>
      <c r="E344" s="9" t="s">
        <v>1107</v>
      </c>
      <c r="F344" s="9" t="s">
        <v>1108</v>
      </c>
      <c r="G344" s="9" t="s">
        <v>14</v>
      </c>
      <c r="H344" s="9" t="s">
        <v>19</v>
      </c>
      <c r="I344" s="9">
        <v>66994402</v>
      </c>
      <c r="J344" s="10">
        <v>44985</v>
      </c>
      <c r="K344" s="9" t="s">
        <v>32</v>
      </c>
      <c r="L344" s="10">
        <v>45464</v>
      </c>
      <c r="M344" s="9" t="s">
        <v>45</v>
      </c>
      <c r="N344" s="9"/>
    </row>
    <row r="345" spans="2:14" x14ac:dyDescent="0.25">
      <c r="B345" s="1">
        <v>341</v>
      </c>
      <c r="C345" s="9" t="s">
        <v>1109</v>
      </c>
      <c r="D345" s="9" t="s">
        <v>1110</v>
      </c>
      <c r="E345" s="9" t="s">
        <v>1111</v>
      </c>
      <c r="F345" s="9" t="s">
        <v>1112</v>
      </c>
      <c r="G345" s="9" t="s">
        <v>14</v>
      </c>
      <c r="H345" s="9" t="s">
        <v>18</v>
      </c>
      <c r="I345" s="9">
        <v>68522340</v>
      </c>
      <c r="J345" s="10">
        <v>45035</v>
      </c>
      <c r="K345" s="9" t="s">
        <v>29</v>
      </c>
      <c r="L345" s="10">
        <v>45464</v>
      </c>
      <c r="M345" s="9" t="s">
        <v>45</v>
      </c>
      <c r="N345" s="9"/>
    </row>
    <row r="346" spans="2:14" x14ac:dyDescent="0.25">
      <c r="B346" s="1">
        <v>342</v>
      </c>
      <c r="C346" s="9" t="s">
        <v>1113</v>
      </c>
      <c r="D346" s="9" t="s">
        <v>1114</v>
      </c>
      <c r="E346" s="9" t="s">
        <v>1115</v>
      </c>
      <c r="F346" s="9" t="s">
        <v>1116</v>
      </c>
      <c r="G346" s="9" t="s">
        <v>14</v>
      </c>
      <c r="H346" s="9" t="s">
        <v>19</v>
      </c>
      <c r="I346" s="9">
        <v>67290232</v>
      </c>
      <c r="J346" s="10">
        <v>44998</v>
      </c>
      <c r="K346" s="9" t="s">
        <v>29</v>
      </c>
      <c r="L346" s="10">
        <v>45467</v>
      </c>
      <c r="M346" s="9" t="s">
        <v>45</v>
      </c>
      <c r="N346" s="9"/>
    </row>
    <row r="347" spans="2:14" x14ac:dyDescent="0.25">
      <c r="B347" s="1">
        <v>343</v>
      </c>
      <c r="C347" s="9" t="s">
        <v>1117</v>
      </c>
      <c r="D347" s="9" t="s">
        <v>1118</v>
      </c>
      <c r="E347" s="9" t="s">
        <v>1119</v>
      </c>
      <c r="F347" s="9" t="s">
        <v>1120</v>
      </c>
      <c r="G347" s="9" t="s">
        <v>14</v>
      </c>
      <c r="H347" s="9" t="s">
        <v>19</v>
      </c>
      <c r="I347" s="9">
        <v>66157010</v>
      </c>
      <c r="J347" s="10">
        <v>45006</v>
      </c>
      <c r="K347" s="9" t="s">
        <v>29</v>
      </c>
      <c r="L347" s="10">
        <v>45467</v>
      </c>
      <c r="M347" s="9" t="s">
        <v>45</v>
      </c>
      <c r="N347" s="9"/>
    </row>
    <row r="348" spans="2:14" x14ac:dyDescent="0.25">
      <c r="B348" s="1">
        <v>344</v>
      </c>
      <c r="C348" s="9" t="s">
        <v>1122</v>
      </c>
      <c r="D348" s="9" t="s">
        <v>1121</v>
      </c>
      <c r="E348" s="9" t="s">
        <v>1123</v>
      </c>
      <c r="F348" s="9" t="s">
        <v>1124</v>
      </c>
      <c r="G348" s="9" t="s">
        <v>14</v>
      </c>
      <c r="H348" s="9" t="s">
        <v>18</v>
      </c>
      <c r="I348" s="9">
        <v>66796507</v>
      </c>
      <c r="J348" s="10">
        <v>44974</v>
      </c>
      <c r="K348" s="9" t="s">
        <v>29</v>
      </c>
      <c r="L348" s="10">
        <v>45468</v>
      </c>
      <c r="M348" s="9" t="s">
        <v>45</v>
      </c>
      <c r="N348" s="9"/>
    </row>
    <row r="349" spans="2:14" x14ac:dyDescent="0.25">
      <c r="B349" s="1">
        <v>345</v>
      </c>
      <c r="C349" s="9" t="s">
        <v>1122</v>
      </c>
      <c r="D349" s="9" t="s">
        <v>1121</v>
      </c>
      <c r="E349" s="9" t="s">
        <v>1123</v>
      </c>
      <c r="F349" s="9" t="s">
        <v>1124</v>
      </c>
      <c r="G349" s="9" t="s">
        <v>14</v>
      </c>
      <c r="H349" s="9" t="s">
        <v>19</v>
      </c>
      <c r="I349" s="9">
        <v>68600816</v>
      </c>
      <c r="J349" s="10">
        <v>45040</v>
      </c>
      <c r="K349" s="9" t="s">
        <v>235</v>
      </c>
      <c r="L349" s="10">
        <v>45468</v>
      </c>
      <c r="M349" s="9" t="s">
        <v>45</v>
      </c>
      <c r="N349" s="9"/>
    </row>
    <row r="350" spans="2:14" x14ac:dyDescent="0.25">
      <c r="B350" s="1">
        <v>346</v>
      </c>
      <c r="C350" s="9" t="s">
        <v>1125</v>
      </c>
      <c r="D350" s="9" t="s">
        <v>1126</v>
      </c>
      <c r="E350" s="9" t="s">
        <v>1127</v>
      </c>
      <c r="F350" s="9" t="s">
        <v>1128</v>
      </c>
      <c r="G350" s="9" t="s">
        <v>15</v>
      </c>
      <c r="H350" s="9" t="s">
        <v>24</v>
      </c>
      <c r="I350" s="9">
        <v>68686688</v>
      </c>
      <c r="J350" s="10">
        <v>45077</v>
      </c>
      <c r="K350" s="9" t="s">
        <v>34</v>
      </c>
      <c r="L350" s="10">
        <v>45469</v>
      </c>
      <c r="M350" s="9" t="s">
        <v>45</v>
      </c>
      <c r="N350" s="9"/>
    </row>
    <row r="351" spans="2:14" x14ac:dyDescent="0.25">
      <c r="B351" s="1">
        <v>347</v>
      </c>
      <c r="C351" s="9" t="s">
        <v>1129</v>
      </c>
      <c r="D351" s="9" t="s">
        <v>1130</v>
      </c>
      <c r="E351" s="9" t="s">
        <v>1131</v>
      </c>
      <c r="F351" s="9" t="s">
        <v>1132</v>
      </c>
      <c r="G351" s="9" t="s">
        <v>14</v>
      </c>
      <c r="H351" s="9" t="s">
        <v>19</v>
      </c>
      <c r="I351" s="9">
        <v>60730117</v>
      </c>
      <c r="J351" s="10">
        <v>44783</v>
      </c>
      <c r="K351" s="9" t="s">
        <v>29</v>
      </c>
      <c r="L351" s="10">
        <v>45469</v>
      </c>
      <c r="M351" s="9" t="s">
        <v>45</v>
      </c>
      <c r="N351" s="9"/>
    </row>
    <row r="352" spans="2:14" x14ac:dyDescent="0.25">
      <c r="B352" s="1">
        <v>348</v>
      </c>
      <c r="C352" s="9" t="s">
        <v>1133</v>
      </c>
      <c r="D352" s="9" t="s">
        <v>1134</v>
      </c>
      <c r="E352" s="9" t="s">
        <v>1135</v>
      </c>
      <c r="F352" s="9" t="s">
        <v>1136</v>
      </c>
      <c r="G352" s="9" t="s">
        <v>14</v>
      </c>
      <c r="H352" s="9" t="s">
        <v>19</v>
      </c>
      <c r="I352" s="9">
        <v>66647156</v>
      </c>
      <c r="J352" s="10">
        <v>44964</v>
      </c>
      <c r="K352" s="9" t="s">
        <v>29</v>
      </c>
      <c r="L352" s="10">
        <v>45469</v>
      </c>
      <c r="M352" s="9" t="s">
        <v>45</v>
      </c>
      <c r="N352" s="9"/>
    </row>
    <row r="353" spans="2:14" x14ac:dyDescent="0.25">
      <c r="B353" s="1">
        <v>349</v>
      </c>
      <c r="C353" s="9" t="s">
        <v>1137</v>
      </c>
      <c r="D353" s="9" t="s">
        <v>1138</v>
      </c>
      <c r="E353" s="9" t="s">
        <v>1139</v>
      </c>
      <c r="F353" s="9" t="s">
        <v>1140</v>
      </c>
      <c r="G353" s="9" t="s">
        <v>14</v>
      </c>
      <c r="H353" s="9" t="s">
        <v>19</v>
      </c>
      <c r="I353" s="9">
        <v>64674584</v>
      </c>
      <c r="J353" s="10">
        <v>44932</v>
      </c>
      <c r="K353" s="9" t="s">
        <v>33</v>
      </c>
      <c r="L353" s="10">
        <v>45471</v>
      </c>
      <c r="M353" s="9" t="s">
        <v>45</v>
      </c>
      <c r="N353" s="9"/>
    </row>
    <row r="354" spans="2:14" x14ac:dyDescent="0.25">
      <c r="B354" s="1">
        <v>350</v>
      </c>
      <c r="C354" s="9" t="s">
        <v>1141</v>
      </c>
      <c r="D354" s="9" t="s">
        <v>1142</v>
      </c>
      <c r="E354" s="9" t="s">
        <v>1143</v>
      </c>
      <c r="F354" s="9"/>
      <c r="G354" s="9" t="s">
        <v>14</v>
      </c>
      <c r="H354" s="9" t="s">
        <v>18</v>
      </c>
      <c r="I354" s="9">
        <v>61759271</v>
      </c>
      <c r="J354" s="10">
        <v>44876</v>
      </c>
      <c r="K354" s="9" t="s">
        <v>29</v>
      </c>
      <c r="L354" s="10">
        <v>45489</v>
      </c>
      <c r="M354" s="9" t="s">
        <v>45</v>
      </c>
      <c r="N354" s="9"/>
    </row>
    <row r="355" spans="2:14" x14ac:dyDescent="0.25">
      <c r="B355" s="1">
        <v>351</v>
      </c>
      <c r="C355" s="9" t="s">
        <v>1146</v>
      </c>
      <c r="D355" s="9" t="s">
        <v>1147</v>
      </c>
      <c r="E355" s="9"/>
      <c r="F355" s="9"/>
      <c r="G355" s="9" t="s">
        <v>14</v>
      </c>
      <c r="H355" s="9" t="s">
        <v>20</v>
      </c>
      <c r="I355" s="9">
        <v>65204927</v>
      </c>
      <c r="J355" s="10">
        <v>44896</v>
      </c>
      <c r="K355" s="9" t="s">
        <v>29</v>
      </c>
      <c r="L355" s="10">
        <v>45489</v>
      </c>
      <c r="M355" s="9" t="s">
        <v>45</v>
      </c>
      <c r="N355" s="9"/>
    </row>
    <row r="356" spans="2:14" x14ac:dyDescent="0.25">
      <c r="B356" s="1">
        <v>352</v>
      </c>
      <c r="C356" s="9" t="s">
        <v>1148</v>
      </c>
      <c r="D356" s="9" t="s">
        <v>1149</v>
      </c>
      <c r="E356" s="9" t="s">
        <v>1150</v>
      </c>
      <c r="F356" s="9" t="s">
        <v>1151</v>
      </c>
      <c r="G356" s="9" t="s">
        <v>14</v>
      </c>
      <c r="H356" s="9" t="s">
        <v>18</v>
      </c>
      <c r="I356" s="9">
        <v>69217151</v>
      </c>
      <c r="J356" s="10">
        <v>45057</v>
      </c>
      <c r="K356" s="9" t="s">
        <v>29</v>
      </c>
      <c r="L356" s="10">
        <v>45489</v>
      </c>
      <c r="M356" s="9" t="s">
        <v>45</v>
      </c>
      <c r="N356" s="9"/>
    </row>
    <row r="357" spans="2:14" x14ac:dyDescent="0.25">
      <c r="B357" s="1">
        <v>353</v>
      </c>
      <c r="C357" s="9" t="s">
        <v>1152</v>
      </c>
      <c r="D357" s="9" t="s">
        <v>1153</v>
      </c>
      <c r="E357" s="9" t="s">
        <v>1154</v>
      </c>
      <c r="F357" s="9" t="s">
        <v>1155</v>
      </c>
      <c r="G357" s="9" t="s">
        <v>14</v>
      </c>
      <c r="H357" s="9" t="s">
        <v>20</v>
      </c>
      <c r="I357" s="9">
        <v>64734579</v>
      </c>
      <c r="J357" s="10">
        <v>44916</v>
      </c>
      <c r="K357" s="9" t="s">
        <v>29</v>
      </c>
      <c r="L357" s="10">
        <v>45489</v>
      </c>
      <c r="M357" s="9" t="s">
        <v>45</v>
      </c>
      <c r="N357" s="9"/>
    </row>
    <row r="358" spans="2:14" x14ac:dyDescent="0.25">
      <c r="B358" s="1">
        <v>354</v>
      </c>
      <c r="C358" s="9" t="s">
        <v>1156</v>
      </c>
      <c r="D358" s="9" t="s">
        <v>1157</v>
      </c>
      <c r="E358" s="9"/>
      <c r="F358" s="9"/>
      <c r="G358" s="9" t="s">
        <v>14</v>
      </c>
      <c r="H358" s="9" t="s">
        <v>19</v>
      </c>
      <c r="I358" s="9">
        <v>65485833</v>
      </c>
      <c r="J358" s="10">
        <v>44916</v>
      </c>
      <c r="K358" s="9" t="s">
        <v>29</v>
      </c>
      <c r="L358" s="10">
        <v>45489</v>
      </c>
      <c r="M358" s="9" t="s">
        <v>45</v>
      </c>
      <c r="N358" s="9"/>
    </row>
    <row r="359" spans="2:14" x14ac:dyDescent="0.25">
      <c r="B359" s="1">
        <v>355</v>
      </c>
      <c r="C359" s="9" t="s">
        <v>1158</v>
      </c>
      <c r="D359" s="9" t="s">
        <v>1159</v>
      </c>
      <c r="E359" s="9" t="s">
        <v>1160</v>
      </c>
      <c r="F359" s="9" t="s">
        <v>1161</v>
      </c>
      <c r="G359" s="9" t="s">
        <v>14</v>
      </c>
      <c r="H359" s="9" t="s">
        <v>19</v>
      </c>
      <c r="I359" s="9">
        <v>69199029</v>
      </c>
      <c r="J359" s="10">
        <v>45055</v>
      </c>
      <c r="K359" s="9" t="s">
        <v>36</v>
      </c>
      <c r="L359" s="10">
        <v>45489</v>
      </c>
      <c r="M359" s="9" t="s">
        <v>45</v>
      </c>
      <c r="N359" s="9"/>
    </row>
    <row r="360" spans="2:14" x14ac:dyDescent="0.25">
      <c r="B360" s="1">
        <v>356</v>
      </c>
      <c r="C360" s="9" t="s">
        <v>1162</v>
      </c>
      <c r="D360" s="9" t="s">
        <v>1163</v>
      </c>
      <c r="E360" s="9" t="s">
        <v>1164</v>
      </c>
      <c r="F360" s="9" t="s">
        <v>1165</v>
      </c>
      <c r="G360" s="9" t="s">
        <v>14</v>
      </c>
      <c r="H360" s="9" t="s">
        <v>18</v>
      </c>
      <c r="I360" s="9">
        <v>67682452</v>
      </c>
      <c r="J360" s="10">
        <v>45008</v>
      </c>
      <c r="K360" s="9" t="s">
        <v>29</v>
      </c>
      <c r="L360" s="10">
        <v>45489</v>
      </c>
      <c r="M360" s="9" t="s">
        <v>45</v>
      </c>
      <c r="N360" s="9"/>
    </row>
    <row r="361" spans="2:14" x14ac:dyDescent="0.25">
      <c r="B361" s="1">
        <v>357</v>
      </c>
      <c r="C361" s="9" t="s">
        <v>1144</v>
      </c>
      <c r="D361" s="9" t="s">
        <v>1145</v>
      </c>
      <c r="E361" s="9"/>
      <c r="F361" s="9"/>
      <c r="G361" s="9" t="s">
        <v>14</v>
      </c>
      <c r="H361" s="9" t="s">
        <v>21</v>
      </c>
      <c r="I361" s="9">
        <v>67488128</v>
      </c>
      <c r="J361" s="10">
        <v>45079</v>
      </c>
      <c r="K361" s="9" t="s">
        <v>34</v>
      </c>
      <c r="L361" s="10">
        <v>45489</v>
      </c>
      <c r="M361" s="9" t="s">
        <v>45</v>
      </c>
      <c r="N361" s="9"/>
    </row>
    <row r="362" spans="2:14" x14ac:dyDescent="0.25">
      <c r="B362" s="1">
        <v>358</v>
      </c>
      <c r="C362" s="9" t="s">
        <v>1166</v>
      </c>
      <c r="D362" s="9" t="s">
        <v>1167</v>
      </c>
      <c r="E362" s="9"/>
      <c r="F362" s="9"/>
      <c r="G362" s="9" t="s">
        <v>14</v>
      </c>
      <c r="H362" s="9" t="s">
        <v>20</v>
      </c>
      <c r="I362" s="9">
        <v>66083064</v>
      </c>
      <c r="J362" s="10">
        <v>44923</v>
      </c>
      <c r="K362" s="9" t="s">
        <v>29</v>
      </c>
      <c r="L362" s="10">
        <v>45489</v>
      </c>
      <c r="M362" s="9" t="s">
        <v>45</v>
      </c>
      <c r="N362" s="9"/>
    </row>
    <row r="363" spans="2:14" x14ac:dyDescent="0.25">
      <c r="B363" s="1">
        <v>359</v>
      </c>
      <c r="C363" s="9" t="s">
        <v>1168</v>
      </c>
      <c r="D363" s="9" t="s">
        <v>1169</v>
      </c>
      <c r="E363" s="9"/>
      <c r="F363" s="9"/>
      <c r="G363" s="9" t="s">
        <v>14</v>
      </c>
      <c r="H363" s="9" t="s">
        <v>19</v>
      </c>
      <c r="I363" s="9">
        <v>68161855</v>
      </c>
      <c r="J363" s="10">
        <v>44999</v>
      </c>
      <c r="K363" s="9" t="s">
        <v>29</v>
      </c>
      <c r="L363" s="10">
        <v>45489</v>
      </c>
      <c r="M363" s="9" t="s">
        <v>45</v>
      </c>
      <c r="N363" s="9"/>
    </row>
    <row r="364" spans="2:14" x14ac:dyDescent="0.25">
      <c r="B364" s="1">
        <v>360</v>
      </c>
      <c r="C364" s="9" t="s">
        <v>1170</v>
      </c>
      <c r="D364" s="9" t="s">
        <v>1171</v>
      </c>
      <c r="E364" s="9" t="s">
        <v>1172</v>
      </c>
      <c r="F364" s="9" t="s">
        <v>1173</v>
      </c>
      <c r="G364" s="9" t="s">
        <v>14</v>
      </c>
      <c r="H364" s="9" t="s">
        <v>19</v>
      </c>
      <c r="I364" s="9">
        <v>66627769</v>
      </c>
      <c r="J364" s="10">
        <v>44960</v>
      </c>
      <c r="K364" s="9" t="s">
        <v>29</v>
      </c>
      <c r="L364" s="10">
        <v>45490</v>
      </c>
      <c r="M364" s="9" t="s">
        <v>45</v>
      </c>
      <c r="N364" s="9"/>
    </row>
    <row r="365" spans="2:14" x14ac:dyDescent="0.25">
      <c r="B365" s="1">
        <v>361</v>
      </c>
      <c r="C365" s="9" t="s">
        <v>1174</v>
      </c>
      <c r="D365" s="9" t="s">
        <v>1175</v>
      </c>
      <c r="E365" s="9" t="s">
        <v>1176</v>
      </c>
      <c r="F365" s="9" t="s">
        <v>1177</v>
      </c>
      <c r="G365" s="9" t="s">
        <v>14</v>
      </c>
      <c r="H365" s="9" t="s">
        <v>19</v>
      </c>
      <c r="I365" s="9">
        <v>62097421</v>
      </c>
      <c r="J365" s="10">
        <v>44789</v>
      </c>
      <c r="K365" s="9" t="s">
        <v>29</v>
      </c>
      <c r="L365" s="10">
        <v>45490</v>
      </c>
      <c r="M365" s="9" t="s">
        <v>45</v>
      </c>
      <c r="N365" s="9"/>
    </row>
    <row r="366" spans="2:14" x14ac:dyDescent="0.25">
      <c r="B366" s="1">
        <v>362</v>
      </c>
      <c r="C366" s="9" t="s">
        <v>1178</v>
      </c>
      <c r="D366" s="9" t="s">
        <v>1179</v>
      </c>
      <c r="E366" s="9" t="s">
        <v>1180</v>
      </c>
      <c r="F366" s="9" t="s">
        <v>1181</v>
      </c>
      <c r="G366" s="9" t="s">
        <v>14</v>
      </c>
      <c r="H366" s="9" t="s">
        <v>20</v>
      </c>
      <c r="I366" s="9">
        <v>64700864</v>
      </c>
      <c r="J366" s="10">
        <v>44923</v>
      </c>
      <c r="K366" s="9" t="s">
        <v>29</v>
      </c>
      <c r="L366" s="10">
        <v>45490</v>
      </c>
      <c r="M366" s="9" t="s">
        <v>45</v>
      </c>
      <c r="N366" s="9"/>
    </row>
    <row r="367" spans="2:14" x14ac:dyDescent="0.25">
      <c r="B367" s="1">
        <v>363</v>
      </c>
      <c r="C367" s="9" t="s">
        <v>1182</v>
      </c>
      <c r="D367" s="9" t="s">
        <v>1183</v>
      </c>
      <c r="E367" s="9" t="s">
        <v>1184</v>
      </c>
      <c r="F367" s="9" t="s">
        <v>1185</v>
      </c>
      <c r="G367" s="9" t="s">
        <v>14</v>
      </c>
      <c r="H367" s="9" t="s">
        <v>19</v>
      </c>
      <c r="I367" s="9">
        <v>62831105</v>
      </c>
      <c r="J367" s="10">
        <v>44886</v>
      </c>
      <c r="K367" s="9" t="s">
        <v>29</v>
      </c>
      <c r="L367" s="10">
        <v>45491</v>
      </c>
      <c r="M367" s="9"/>
      <c r="N367" s="9"/>
    </row>
    <row r="368" spans="2:14" x14ac:dyDescent="0.25">
      <c r="B368" s="1">
        <v>364</v>
      </c>
      <c r="C368" s="9" t="s">
        <v>1186</v>
      </c>
      <c r="D368" s="9" t="s">
        <v>1187</v>
      </c>
      <c r="E368" s="16" t="s">
        <v>1188</v>
      </c>
      <c r="F368" s="38" t="s">
        <v>1189</v>
      </c>
      <c r="G368" s="9" t="s">
        <v>14</v>
      </c>
      <c r="H368" s="9" t="s">
        <v>19</v>
      </c>
      <c r="I368" s="9">
        <v>67074247</v>
      </c>
      <c r="J368" s="10">
        <v>44964</v>
      </c>
      <c r="K368" s="9" t="s">
        <v>29</v>
      </c>
      <c r="L368" s="10">
        <v>45491</v>
      </c>
      <c r="M368" s="9" t="s">
        <v>45</v>
      </c>
      <c r="N368" s="9"/>
    </row>
    <row r="369" spans="2:14" x14ac:dyDescent="0.25">
      <c r="B369" s="1">
        <v>365</v>
      </c>
      <c r="C369" s="9">
        <v>1719511048</v>
      </c>
      <c r="D369" s="9" t="s">
        <v>1190</v>
      </c>
      <c r="E369" s="9" t="s">
        <v>1191</v>
      </c>
      <c r="F369" s="9" t="s">
        <v>1192</v>
      </c>
      <c r="G369" s="9" t="s">
        <v>14</v>
      </c>
      <c r="H369" s="9" t="s">
        <v>18</v>
      </c>
      <c r="I369" s="9">
        <v>66838308</v>
      </c>
      <c r="J369" s="10">
        <v>45020</v>
      </c>
      <c r="K369" s="9" t="s">
        <v>32</v>
      </c>
      <c r="L369" s="10">
        <v>45491</v>
      </c>
      <c r="M369" s="9" t="s">
        <v>45</v>
      </c>
      <c r="N369" s="9"/>
    </row>
    <row r="370" spans="2:14" x14ac:dyDescent="0.25">
      <c r="B370" s="1">
        <v>366</v>
      </c>
      <c r="C370" s="9">
        <v>1717848954</v>
      </c>
      <c r="D370" s="9" t="s">
        <v>1142</v>
      </c>
      <c r="E370" s="9" t="s">
        <v>1193</v>
      </c>
      <c r="F370" s="9" t="s">
        <v>1194</v>
      </c>
      <c r="G370" s="9" t="s">
        <v>14</v>
      </c>
      <c r="H370" s="9" t="s">
        <v>18</v>
      </c>
      <c r="I370" s="9">
        <v>61759271</v>
      </c>
      <c r="J370" s="10">
        <v>44876</v>
      </c>
      <c r="K370" s="9" t="s">
        <v>29</v>
      </c>
      <c r="L370" s="10">
        <v>45491</v>
      </c>
      <c r="M370" s="9" t="s">
        <v>45</v>
      </c>
      <c r="N370" s="9"/>
    </row>
    <row r="371" spans="2:14" x14ac:dyDescent="0.25">
      <c r="B371" s="1">
        <v>367</v>
      </c>
      <c r="C371" s="9">
        <v>1750833822</v>
      </c>
      <c r="D371" s="9" t="s">
        <v>1195</v>
      </c>
      <c r="E371" s="9"/>
      <c r="F371" s="9"/>
      <c r="G371" s="9" t="s">
        <v>14</v>
      </c>
      <c r="H371" s="9" t="s">
        <v>19</v>
      </c>
      <c r="I371" s="9">
        <v>68590114</v>
      </c>
      <c r="J371" s="10">
        <v>45036</v>
      </c>
      <c r="K371" s="9" t="s">
        <v>29</v>
      </c>
      <c r="L371" s="10">
        <v>45491</v>
      </c>
      <c r="M371" s="9" t="s">
        <v>45</v>
      </c>
      <c r="N371" s="9"/>
    </row>
    <row r="372" spans="2:14" x14ac:dyDescent="0.25">
      <c r="B372" s="1">
        <v>368</v>
      </c>
      <c r="C372" s="9">
        <v>1727135210</v>
      </c>
      <c r="D372" s="9" t="s">
        <v>1196</v>
      </c>
      <c r="E372" s="9" t="s">
        <v>1197</v>
      </c>
      <c r="F372" s="9" t="s">
        <v>1198</v>
      </c>
      <c r="G372" s="9" t="s">
        <v>14</v>
      </c>
      <c r="H372" s="9" t="s">
        <v>20</v>
      </c>
      <c r="I372" s="9">
        <v>65167786</v>
      </c>
      <c r="J372" s="10">
        <v>44963</v>
      </c>
      <c r="K372" s="9" t="s">
        <v>29</v>
      </c>
      <c r="L372" s="10">
        <v>45492</v>
      </c>
      <c r="M372" s="9" t="s">
        <v>45</v>
      </c>
      <c r="N372" s="9"/>
    </row>
    <row r="373" spans="2:14" x14ac:dyDescent="0.25">
      <c r="B373" s="1">
        <v>369</v>
      </c>
      <c r="C373" s="9">
        <v>1725799306</v>
      </c>
      <c r="D373" s="9" t="s">
        <v>1199</v>
      </c>
      <c r="E373" s="9"/>
      <c r="F373" s="9"/>
      <c r="G373" s="9" t="s">
        <v>14</v>
      </c>
      <c r="H373" s="9" t="s">
        <v>22</v>
      </c>
      <c r="I373" s="9">
        <v>61856433</v>
      </c>
      <c r="J373" s="10">
        <v>44825</v>
      </c>
      <c r="K373" s="9" t="s">
        <v>29</v>
      </c>
      <c r="L373" s="10">
        <v>45492</v>
      </c>
      <c r="M373" s="9" t="s">
        <v>45</v>
      </c>
      <c r="N373" s="9"/>
    </row>
    <row r="374" spans="2:14" x14ac:dyDescent="0.25">
      <c r="B374" s="1">
        <v>370</v>
      </c>
      <c r="C374" s="9">
        <v>1723677173</v>
      </c>
      <c r="D374" s="9" t="s">
        <v>1200</v>
      </c>
      <c r="E374" s="9"/>
      <c r="F374" s="9"/>
      <c r="G374" s="9" t="s">
        <v>14</v>
      </c>
      <c r="H374" s="9" t="s">
        <v>20</v>
      </c>
      <c r="I374" s="9">
        <v>69096640</v>
      </c>
      <c r="J374" s="10">
        <v>45062</v>
      </c>
      <c r="K374" s="9" t="s">
        <v>34</v>
      </c>
      <c r="L374" s="10">
        <v>45492</v>
      </c>
      <c r="M374" s="9" t="s">
        <v>45</v>
      </c>
      <c r="N374" s="9"/>
    </row>
    <row r="375" spans="2:14" x14ac:dyDescent="0.25">
      <c r="B375" s="1">
        <v>371</v>
      </c>
      <c r="C375" s="9">
        <v>2350351397</v>
      </c>
      <c r="D375" s="9" t="s">
        <v>1201</v>
      </c>
      <c r="E375" s="9" t="s">
        <v>1202</v>
      </c>
      <c r="F375" s="9" t="s">
        <v>1203</v>
      </c>
      <c r="G375" s="9" t="s">
        <v>14</v>
      </c>
      <c r="H375" s="9" t="s">
        <v>18</v>
      </c>
      <c r="I375" s="9">
        <v>64442805</v>
      </c>
      <c r="J375" s="10">
        <v>45056</v>
      </c>
      <c r="K375" s="9" t="s">
        <v>29</v>
      </c>
      <c r="L375" s="10">
        <v>45492</v>
      </c>
      <c r="M375" s="9" t="s">
        <v>45</v>
      </c>
      <c r="N375" s="9"/>
    </row>
    <row r="376" spans="2:14" x14ac:dyDescent="0.25">
      <c r="B376" s="1">
        <v>372</v>
      </c>
      <c r="C376" s="9">
        <v>1755867338</v>
      </c>
      <c r="D376" s="9" t="s">
        <v>1204</v>
      </c>
      <c r="E376" s="9" t="s">
        <v>1205</v>
      </c>
      <c r="F376" s="9" t="s">
        <v>1206</v>
      </c>
      <c r="G376" s="9" t="s">
        <v>14</v>
      </c>
      <c r="H376" s="9" t="s">
        <v>20</v>
      </c>
      <c r="I376" s="9">
        <v>65904795</v>
      </c>
      <c r="J376" s="10">
        <v>44951</v>
      </c>
      <c r="K376" s="9" t="s">
        <v>235</v>
      </c>
      <c r="L376" s="10">
        <v>45495</v>
      </c>
      <c r="M376" s="9" t="s">
        <v>45</v>
      </c>
      <c r="N376" s="9"/>
    </row>
    <row r="377" spans="2:14" x14ac:dyDescent="0.25">
      <c r="B377" s="1">
        <v>373</v>
      </c>
      <c r="C377" s="9">
        <v>1003897251</v>
      </c>
      <c r="D377" s="9" t="s">
        <v>1207</v>
      </c>
      <c r="E377" s="9" t="s">
        <v>1208</v>
      </c>
      <c r="F377" s="9" t="s">
        <v>1209</v>
      </c>
      <c r="G377" s="9" t="s">
        <v>14</v>
      </c>
      <c r="H377" s="9" t="s">
        <v>19</v>
      </c>
      <c r="I377" s="9">
        <v>60822331</v>
      </c>
      <c r="J377" s="10">
        <v>44798</v>
      </c>
      <c r="K377" s="9" t="s">
        <v>29</v>
      </c>
      <c r="L377" s="10">
        <v>45495</v>
      </c>
      <c r="M377" s="9" t="s">
        <v>45</v>
      </c>
      <c r="N377" s="9"/>
    </row>
    <row r="378" spans="2:14" x14ac:dyDescent="0.25">
      <c r="B378" s="1">
        <v>374</v>
      </c>
      <c r="C378" s="9">
        <v>1727621383</v>
      </c>
      <c r="D378" s="9" t="s">
        <v>1210</v>
      </c>
      <c r="E378" s="9" t="s">
        <v>1211</v>
      </c>
      <c r="F378" s="9" t="s">
        <v>1212</v>
      </c>
      <c r="G378" s="9" t="s">
        <v>14</v>
      </c>
      <c r="H378" s="9" t="s">
        <v>19</v>
      </c>
      <c r="I378" s="9">
        <v>66231998</v>
      </c>
      <c r="J378" s="10">
        <v>44952</v>
      </c>
      <c r="K378" s="9" t="s">
        <v>29</v>
      </c>
      <c r="L378" s="10">
        <v>45496</v>
      </c>
      <c r="M378" s="9" t="s">
        <v>45</v>
      </c>
      <c r="N378" s="9"/>
    </row>
    <row r="379" spans="2:14" x14ac:dyDescent="0.25">
      <c r="B379" s="1">
        <v>375</v>
      </c>
      <c r="C379" s="9">
        <v>1725389256</v>
      </c>
      <c r="D379" s="9" t="s">
        <v>1213</v>
      </c>
      <c r="E379" s="9" t="s">
        <v>1214</v>
      </c>
      <c r="F379" s="9" t="s">
        <v>1215</v>
      </c>
      <c r="G379" s="9" t="s">
        <v>14</v>
      </c>
      <c r="H379" s="9" t="s">
        <v>18</v>
      </c>
      <c r="I379" s="9">
        <v>67187418</v>
      </c>
      <c r="J379" s="10">
        <v>44993</v>
      </c>
      <c r="K379" s="9" t="s">
        <v>29</v>
      </c>
      <c r="L379" s="10">
        <v>45496</v>
      </c>
      <c r="M379" s="9" t="s">
        <v>45</v>
      </c>
      <c r="N379" s="9"/>
    </row>
    <row r="380" spans="2:14" x14ac:dyDescent="0.25">
      <c r="B380" s="1">
        <v>376</v>
      </c>
      <c r="C380" s="9">
        <v>1725149163</v>
      </c>
      <c r="D380" s="9" t="s">
        <v>1216</v>
      </c>
      <c r="E380" s="9" t="s">
        <v>1218</v>
      </c>
      <c r="F380" s="9" t="s">
        <v>1217</v>
      </c>
      <c r="G380" s="9" t="s">
        <v>14</v>
      </c>
      <c r="H380" s="9" t="s">
        <v>19</v>
      </c>
      <c r="I380" s="9">
        <v>67347846</v>
      </c>
      <c r="J380" s="10">
        <v>45000</v>
      </c>
      <c r="K380" s="9" t="s">
        <v>34</v>
      </c>
      <c r="L380" s="10">
        <v>45496</v>
      </c>
      <c r="M380" s="9" t="s">
        <v>45</v>
      </c>
      <c r="N380" s="9"/>
    </row>
    <row r="381" spans="2:14" x14ac:dyDescent="0.25">
      <c r="B381" s="1">
        <v>377</v>
      </c>
      <c r="C381" s="9">
        <v>1752225498</v>
      </c>
      <c r="D381" s="9" t="s">
        <v>1219</v>
      </c>
      <c r="E381" s="9" t="s">
        <v>1220</v>
      </c>
      <c r="F381" s="9" t="s">
        <v>1221</v>
      </c>
      <c r="G381" s="9" t="s">
        <v>14</v>
      </c>
      <c r="H381" s="9" t="s">
        <v>19</v>
      </c>
      <c r="I381" s="9">
        <v>62226622</v>
      </c>
      <c r="J381" s="10">
        <v>44834</v>
      </c>
      <c r="K381" s="9" t="s">
        <v>29</v>
      </c>
      <c r="L381" s="10">
        <v>45497</v>
      </c>
      <c r="M381" s="9" t="s">
        <v>45</v>
      </c>
      <c r="N381" s="9"/>
    </row>
    <row r="382" spans="2:14" x14ac:dyDescent="0.25">
      <c r="B382" s="1">
        <v>378</v>
      </c>
      <c r="C382" s="9">
        <v>1704746237</v>
      </c>
      <c r="D382" s="9" t="s">
        <v>1222</v>
      </c>
      <c r="E382" s="9" t="s">
        <v>735</v>
      </c>
      <c r="F382" s="9" t="s">
        <v>1223</v>
      </c>
      <c r="G382" s="9" t="s">
        <v>257</v>
      </c>
      <c r="H382" s="9" t="s">
        <v>19</v>
      </c>
      <c r="I382" s="9">
        <v>51787835</v>
      </c>
      <c r="J382" s="10">
        <v>44390</v>
      </c>
      <c r="K382" s="9" t="s">
        <v>57</v>
      </c>
      <c r="L382" s="10">
        <v>45497</v>
      </c>
      <c r="M382" s="9" t="s">
        <v>45</v>
      </c>
      <c r="N382" s="9"/>
    </row>
    <row r="383" spans="2:14" x14ac:dyDescent="0.25">
      <c r="B383" s="1">
        <v>379</v>
      </c>
      <c r="C383" s="9">
        <v>1725098949</v>
      </c>
      <c r="D383" s="9" t="s">
        <v>1224</v>
      </c>
      <c r="E383" s="9" t="s">
        <v>1225</v>
      </c>
      <c r="F383" s="9" t="s">
        <v>1226</v>
      </c>
      <c r="G383" s="9"/>
      <c r="H383" s="9" t="s">
        <v>18</v>
      </c>
      <c r="I383" s="9">
        <v>61001164</v>
      </c>
      <c r="J383" s="10">
        <v>44915</v>
      </c>
      <c r="K383" s="9" t="s">
        <v>29</v>
      </c>
      <c r="L383" s="10">
        <v>45497</v>
      </c>
      <c r="M383" s="9" t="s">
        <v>45</v>
      </c>
      <c r="N383" s="9"/>
    </row>
    <row r="384" spans="2:14" x14ac:dyDescent="0.25">
      <c r="B384" s="1">
        <v>380</v>
      </c>
      <c r="C384" s="9">
        <v>1717680894</v>
      </c>
      <c r="D384" s="9" t="s">
        <v>1227</v>
      </c>
      <c r="E384" s="9" t="s">
        <v>1228</v>
      </c>
      <c r="F384" s="9" t="s">
        <v>1229</v>
      </c>
      <c r="G384" s="9" t="s">
        <v>14</v>
      </c>
      <c r="H384" s="9" t="s">
        <v>22</v>
      </c>
      <c r="I384" s="9">
        <v>66872153</v>
      </c>
      <c r="J384" s="10">
        <v>44985</v>
      </c>
      <c r="K384" s="9" t="s">
        <v>29</v>
      </c>
      <c r="L384" s="10">
        <v>45497</v>
      </c>
      <c r="M384" s="9" t="s">
        <v>45</v>
      </c>
      <c r="N384" s="9"/>
    </row>
    <row r="385" spans="2:14" x14ac:dyDescent="0.25">
      <c r="B385" s="1">
        <v>381</v>
      </c>
      <c r="C385" s="9">
        <v>1724193410</v>
      </c>
      <c r="D385" s="9" t="s">
        <v>1230</v>
      </c>
      <c r="E385" s="9" t="s">
        <v>1231</v>
      </c>
      <c r="F385" s="9" t="s">
        <v>1232</v>
      </c>
      <c r="G385" s="9" t="s">
        <v>14</v>
      </c>
      <c r="H385" s="9" t="s">
        <v>19</v>
      </c>
      <c r="I385" s="9">
        <v>60862289</v>
      </c>
      <c r="J385" s="10">
        <v>44795</v>
      </c>
      <c r="K385" s="9" t="s">
        <v>29</v>
      </c>
      <c r="L385" s="10">
        <v>45499</v>
      </c>
      <c r="M385" s="9" t="s">
        <v>45</v>
      </c>
      <c r="N385" s="9"/>
    </row>
    <row r="386" spans="2:14" x14ac:dyDescent="0.25">
      <c r="B386" s="1">
        <v>382</v>
      </c>
      <c r="C386" s="9">
        <v>1722017496</v>
      </c>
      <c r="D386" s="9" t="s">
        <v>1233</v>
      </c>
      <c r="E386" s="9" t="s">
        <v>1234</v>
      </c>
      <c r="F386" s="9" t="s">
        <v>1235</v>
      </c>
      <c r="G386" s="9" t="s">
        <v>14</v>
      </c>
      <c r="H386" s="9" t="s">
        <v>19</v>
      </c>
      <c r="I386" s="9">
        <v>66290765</v>
      </c>
      <c r="J386" s="10">
        <v>44958</v>
      </c>
      <c r="K386" s="9" t="s">
        <v>29</v>
      </c>
      <c r="L386" s="10">
        <v>45499</v>
      </c>
      <c r="M386" s="9" t="s">
        <v>45</v>
      </c>
      <c r="N386" s="9"/>
    </row>
    <row r="387" spans="2:14" x14ac:dyDescent="0.25">
      <c r="B387" s="1">
        <v>383</v>
      </c>
      <c r="C387" s="9" t="s">
        <v>1237</v>
      </c>
      <c r="D387" s="9" t="s">
        <v>1236</v>
      </c>
      <c r="E387" s="9" t="s">
        <v>1238</v>
      </c>
      <c r="F387" s="9" t="s">
        <v>1239</v>
      </c>
      <c r="G387" s="9" t="s">
        <v>14</v>
      </c>
      <c r="H387" s="9" t="s">
        <v>19</v>
      </c>
      <c r="I387" s="9">
        <v>66341047</v>
      </c>
      <c r="J387" s="10">
        <v>44943</v>
      </c>
      <c r="K387" s="9" t="s">
        <v>32</v>
      </c>
      <c r="L387" s="10">
        <v>45502</v>
      </c>
      <c r="M387" s="9" t="s">
        <v>45</v>
      </c>
      <c r="N387" s="9"/>
    </row>
    <row r="388" spans="2:14" x14ac:dyDescent="0.25">
      <c r="B388" s="1">
        <v>384</v>
      </c>
      <c r="C388" s="9">
        <v>1714982897</v>
      </c>
      <c r="D388" s="9" t="s">
        <v>1240</v>
      </c>
      <c r="E388" s="9" t="s">
        <v>1241</v>
      </c>
      <c r="F388" s="9" t="s">
        <v>1242</v>
      </c>
      <c r="G388" s="9" t="s">
        <v>14</v>
      </c>
      <c r="H388" s="9" t="s">
        <v>19</v>
      </c>
      <c r="I388" s="9">
        <v>67267494</v>
      </c>
      <c r="J388" s="10">
        <v>44998</v>
      </c>
      <c r="K388" s="9" t="s">
        <v>29</v>
      </c>
      <c r="L388" s="10">
        <v>45503</v>
      </c>
      <c r="M388" s="9" t="s">
        <v>45</v>
      </c>
      <c r="N388" s="9"/>
    </row>
    <row r="389" spans="2:14" x14ac:dyDescent="0.25">
      <c r="B389" s="1">
        <v>385</v>
      </c>
      <c r="C389" s="9">
        <v>1724365554</v>
      </c>
      <c r="D389" s="9" t="s">
        <v>1253</v>
      </c>
      <c r="E389" s="9"/>
      <c r="F389" s="9"/>
      <c r="G389" s="9" t="s">
        <v>14</v>
      </c>
      <c r="H389" s="9" t="s">
        <v>19</v>
      </c>
      <c r="I389" s="9">
        <v>48404899</v>
      </c>
      <c r="J389" s="10">
        <v>44335</v>
      </c>
      <c r="K389" s="9" t="s">
        <v>57</v>
      </c>
      <c r="L389" s="10">
        <v>45503</v>
      </c>
      <c r="M389" s="9" t="s">
        <v>45</v>
      </c>
      <c r="N389" s="9"/>
    </row>
    <row r="390" spans="2:14" x14ac:dyDescent="0.25">
      <c r="B390" s="1">
        <v>386</v>
      </c>
      <c r="C390" s="9">
        <v>1754763579</v>
      </c>
      <c r="D390" s="9" t="s">
        <v>1243</v>
      </c>
      <c r="E390" s="9" t="s">
        <v>1245</v>
      </c>
      <c r="F390" s="9" t="s">
        <v>1244</v>
      </c>
      <c r="G390" s="9" t="s">
        <v>14</v>
      </c>
      <c r="H390" s="9" t="s">
        <v>19</v>
      </c>
      <c r="I390" s="9">
        <v>65515757</v>
      </c>
      <c r="J390" s="10">
        <v>44922</v>
      </c>
      <c r="K390" s="9" t="s">
        <v>29</v>
      </c>
      <c r="L390" s="10">
        <v>45504</v>
      </c>
      <c r="M390" s="9" t="s">
        <v>45</v>
      </c>
      <c r="N390" s="9"/>
    </row>
    <row r="391" spans="2:14" x14ac:dyDescent="0.25">
      <c r="B391" s="1">
        <v>387</v>
      </c>
      <c r="C391" s="9">
        <v>1754451159</v>
      </c>
      <c r="D391" s="9" t="s">
        <v>1246</v>
      </c>
      <c r="E391" s="9"/>
      <c r="F391" s="9"/>
      <c r="G391" s="9" t="s">
        <v>14</v>
      </c>
      <c r="H391" s="9" t="s">
        <v>22</v>
      </c>
      <c r="I391" s="9">
        <v>66644317</v>
      </c>
      <c r="J391" s="10">
        <v>44992</v>
      </c>
      <c r="K391" s="9" t="s">
        <v>29</v>
      </c>
      <c r="L391" s="10">
        <v>45504</v>
      </c>
      <c r="M391" s="9" t="s">
        <v>45</v>
      </c>
      <c r="N391" s="9"/>
    </row>
    <row r="392" spans="2:14" x14ac:dyDescent="0.25">
      <c r="B392" s="1">
        <v>388</v>
      </c>
      <c r="C392" s="9">
        <v>1757011257</v>
      </c>
      <c r="D392" s="9" t="s">
        <v>1247</v>
      </c>
      <c r="E392" s="9" t="s">
        <v>1248</v>
      </c>
      <c r="F392" s="9" t="s">
        <v>1249</v>
      </c>
      <c r="G392" s="9" t="s">
        <v>14</v>
      </c>
      <c r="H392" s="9" t="s">
        <v>19</v>
      </c>
      <c r="I392" s="9">
        <v>43138629</v>
      </c>
      <c r="J392" s="10">
        <v>44126</v>
      </c>
      <c r="K392" s="9" t="s">
        <v>57</v>
      </c>
      <c r="L392" s="10">
        <v>45505</v>
      </c>
      <c r="M392" s="9" t="s">
        <v>45</v>
      </c>
      <c r="N392" s="9"/>
    </row>
    <row r="393" spans="2:14" x14ac:dyDescent="0.25">
      <c r="B393" s="1">
        <v>389</v>
      </c>
      <c r="C393" s="9">
        <v>1753721420</v>
      </c>
      <c r="D393" s="9" t="s">
        <v>1250</v>
      </c>
      <c r="E393" s="9" t="s">
        <v>1251</v>
      </c>
      <c r="F393" s="9" t="s">
        <v>1252</v>
      </c>
      <c r="G393" s="9" t="s">
        <v>14</v>
      </c>
      <c r="H393" s="9" t="s">
        <v>20</v>
      </c>
      <c r="I393" s="9">
        <v>69302865</v>
      </c>
      <c r="J393" s="10">
        <v>45089</v>
      </c>
      <c r="K393" s="9" t="s">
        <v>31</v>
      </c>
      <c r="L393" s="10">
        <v>45505</v>
      </c>
      <c r="M393" s="9" t="s">
        <v>45</v>
      </c>
      <c r="N393" s="9"/>
    </row>
    <row r="394" spans="2:14" x14ac:dyDescent="0.25">
      <c r="B394" s="1">
        <v>390</v>
      </c>
      <c r="C394" s="9">
        <v>1719393835</v>
      </c>
      <c r="D394" s="9" t="s">
        <v>1254</v>
      </c>
      <c r="E394" s="9" t="s">
        <v>1255</v>
      </c>
      <c r="F394" s="9" t="s">
        <v>1256</v>
      </c>
      <c r="G394" s="9" t="s">
        <v>14</v>
      </c>
      <c r="H394" s="9" t="s">
        <v>19</v>
      </c>
      <c r="I394" s="9">
        <v>66885057</v>
      </c>
      <c r="J394" s="10">
        <v>44987</v>
      </c>
      <c r="K394" s="9" t="s">
        <v>29</v>
      </c>
      <c r="L394" s="10">
        <v>45505</v>
      </c>
      <c r="M394" s="9" t="s">
        <v>45</v>
      </c>
      <c r="N394" s="9"/>
    </row>
    <row r="395" spans="2:14" x14ac:dyDescent="0.25">
      <c r="B395" s="1">
        <v>391</v>
      </c>
      <c r="C395" s="9">
        <v>1727317180</v>
      </c>
      <c r="D395" s="9" t="s">
        <v>73</v>
      </c>
      <c r="E395" s="9" t="s">
        <v>1258</v>
      </c>
      <c r="F395" s="9" t="s">
        <v>1257</v>
      </c>
      <c r="G395" s="9" t="s">
        <v>14</v>
      </c>
      <c r="H395" s="9" t="s">
        <v>19</v>
      </c>
      <c r="I395" s="9">
        <v>63552546</v>
      </c>
      <c r="J395" s="10">
        <v>44826</v>
      </c>
      <c r="K395" s="9" t="s">
        <v>29</v>
      </c>
      <c r="L395" s="10">
        <v>45505</v>
      </c>
      <c r="M395" s="9" t="s">
        <v>45</v>
      </c>
      <c r="N395" s="9"/>
    </row>
    <row r="396" spans="2:14" x14ac:dyDescent="0.25">
      <c r="B396" s="1">
        <v>392</v>
      </c>
      <c r="C396" s="9">
        <v>1723174957</v>
      </c>
      <c r="D396" s="9" t="s">
        <v>1259</v>
      </c>
      <c r="E396" s="9" t="s">
        <v>1261</v>
      </c>
      <c r="F396" s="9" t="s">
        <v>1260</v>
      </c>
      <c r="G396" s="9" t="s">
        <v>14</v>
      </c>
      <c r="H396" s="9" t="s">
        <v>18</v>
      </c>
      <c r="I396" s="9">
        <v>67548174</v>
      </c>
      <c r="J396" s="10">
        <v>45085</v>
      </c>
      <c r="K396" s="9" t="s">
        <v>31</v>
      </c>
      <c r="L396" s="10">
        <v>45506</v>
      </c>
      <c r="M396" s="9"/>
      <c r="N396" s="9"/>
    </row>
    <row r="397" spans="2:14" x14ac:dyDescent="0.25">
      <c r="B397" s="1">
        <v>393</v>
      </c>
      <c r="C397" s="9">
        <v>1721972675</v>
      </c>
      <c r="D397" s="9" t="s">
        <v>1262</v>
      </c>
      <c r="E397" s="9" t="s">
        <v>1263</v>
      </c>
      <c r="F397" s="9" t="s">
        <v>1264</v>
      </c>
      <c r="G397" s="9" t="s">
        <v>14</v>
      </c>
      <c r="H397" s="9" t="s">
        <v>18</v>
      </c>
      <c r="I397" s="9">
        <v>65583455</v>
      </c>
      <c r="J397" s="10">
        <v>44894</v>
      </c>
      <c r="K397" s="9" t="s">
        <v>29</v>
      </c>
      <c r="L397" s="10">
        <v>45506</v>
      </c>
      <c r="M397" s="9" t="s">
        <v>45</v>
      </c>
      <c r="N397" s="9"/>
    </row>
    <row r="398" spans="2:14" x14ac:dyDescent="0.25">
      <c r="B398" s="1">
        <v>394</v>
      </c>
      <c r="C398" s="9">
        <v>1725482788</v>
      </c>
      <c r="D398" s="9" t="s">
        <v>1265</v>
      </c>
      <c r="E398" s="9" t="s">
        <v>1266</v>
      </c>
      <c r="F398" s="9" t="s">
        <v>1267</v>
      </c>
      <c r="G398" s="9" t="s">
        <v>14</v>
      </c>
      <c r="H398" s="9" t="s">
        <v>19</v>
      </c>
      <c r="I398" s="9">
        <v>63294497</v>
      </c>
      <c r="J398" s="10">
        <v>44879</v>
      </c>
      <c r="K398" s="9" t="s">
        <v>29</v>
      </c>
      <c r="L398" s="10">
        <v>45509</v>
      </c>
      <c r="M398" s="9" t="s">
        <v>45</v>
      </c>
      <c r="N398" s="9"/>
    </row>
    <row r="399" spans="2:14" x14ac:dyDescent="0.25">
      <c r="B399" s="1">
        <v>395</v>
      </c>
      <c r="C399" s="9">
        <v>1724695117</v>
      </c>
      <c r="D399" s="9" t="s">
        <v>1268</v>
      </c>
      <c r="E399" s="9" t="s">
        <v>1269</v>
      </c>
      <c r="F399" s="9" t="s">
        <v>1270</v>
      </c>
      <c r="G399" s="9" t="s">
        <v>14</v>
      </c>
      <c r="H399" s="9" t="s">
        <v>18</v>
      </c>
      <c r="I399" s="9">
        <v>60861134</v>
      </c>
      <c r="J399" s="10">
        <v>44790</v>
      </c>
      <c r="K399" s="9" t="s">
        <v>29</v>
      </c>
      <c r="L399" s="10">
        <v>45510</v>
      </c>
      <c r="M399" s="9" t="s">
        <v>45</v>
      </c>
      <c r="N399" s="9"/>
    </row>
    <row r="400" spans="2:14" x14ac:dyDescent="0.25">
      <c r="B400" s="1">
        <v>396</v>
      </c>
      <c r="C400" s="9">
        <v>1850274109</v>
      </c>
      <c r="D400" s="9" t="s">
        <v>1271</v>
      </c>
      <c r="E400" s="9" t="s">
        <v>1272</v>
      </c>
      <c r="F400" s="9" t="s">
        <v>1273</v>
      </c>
      <c r="G400" s="9" t="s">
        <v>14</v>
      </c>
      <c r="H400" s="9" t="s">
        <v>19</v>
      </c>
      <c r="I400" s="9">
        <v>62275521</v>
      </c>
      <c r="J400" s="10">
        <v>44841</v>
      </c>
      <c r="K400" s="9" t="s">
        <v>29</v>
      </c>
      <c r="L400" s="10">
        <v>45510</v>
      </c>
      <c r="M400" s="9" t="s">
        <v>45</v>
      </c>
      <c r="N400" s="9"/>
    </row>
    <row r="401" spans="2:14" x14ac:dyDescent="0.25">
      <c r="B401" s="1">
        <v>397</v>
      </c>
      <c r="C401" s="9">
        <v>1706286166</v>
      </c>
      <c r="D401" s="9" t="s">
        <v>1274</v>
      </c>
      <c r="E401" s="9" t="s">
        <v>1275</v>
      </c>
      <c r="F401" s="9" t="s">
        <v>1276</v>
      </c>
      <c r="G401" s="9" t="s">
        <v>14</v>
      </c>
      <c r="H401" s="9" t="s">
        <v>18</v>
      </c>
      <c r="I401" s="9">
        <v>67307041</v>
      </c>
      <c r="J401" s="10">
        <v>45001</v>
      </c>
      <c r="K401" s="9" t="s">
        <v>29</v>
      </c>
      <c r="L401" s="10">
        <v>45510</v>
      </c>
      <c r="M401" s="9" t="s">
        <v>45</v>
      </c>
      <c r="N401" s="9"/>
    </row>
    <row r="402" spans="2:14" x14ac:dyDescent="0.25">
      <c r="B402" s="1">
        <v>398</v>
      </c>
      <c r="C402" s="9">
        <v>1720999141</v>
      </c>
      <c r="D402" s="9" t="s">
        <v>1277</v>
      </c>
      <c r="E402" s="9" t="s">
        <v>1278</v>
      </c>
      <c r="F402" s="9" t="s">
        <v>1279</v>
      </c>
      <c r="G402" s="9" t="s">
        <v>14</v>
      </c>
      <c r="H402" s="9" t="s">
        <v>19</v>
      </c>
      <c r="I402" s="9">
        <v>60882860</v>
      </c>
      <c r="J402" s="10">
        <v>44792</v>
      </c>
      <c r="K402" s="9" t="s">
        <v>29</v>
      </c>
      <c r="L402" s="10">
        <v>45511</v>
      </c>
      <c r="M402" s="9" t="s">
        <v>45</v>
      </c>
      <c r="N402" s="9"/>
    </row>
    <row r="403" spans="2:14" x14ac:dyDescent="0.25">
      <c r="B403" s="1">
        <v>399</v>
      </c>
      <c r="C403" s="9">
        <v>1726606286</v>
      </c>
      <c r="D403" s="9" t="s">
        <v>1280</v>
      </c>
      <c r="E403" s="9" t="s">
        <v>1281</v>
      </c>
      <c r="F403" s="9" t="s">
        <v>1282</v>
      </c>
      <c r="G403" s="9" t="s">
        <v>14</v>
      </c>
      <c r="H403" s="9" t="s">
        <v>20</v>
      </c>
      <c r="I403" s="9">
        <v>65248039</v>
      </c>
      <c r="J403" s="10">
        <v>44897</v>
      </c>
      <c r="K403" s="9" t="s">
        <v>29</v>
      </c>
      <c r="L403" s="10">
        <v>45511</v>
      </c>
      <c r="M403" s="9" t="s">
        <v>45</v>
      </c>
      <c r="N403" s="9"/>
    </row>
    <row r="404" spans="2:14" x14ac:dyDescent="0.25">
      <c r="B404" s="1">
        <v>400</v>
      </c>
      <c r="C404" s="9">
        <v>1755582515</v>
      </c>
      <c r="D404" s="9" t="s">
        <v>1283</v>
      </c>
      <c r="E404" s="9" t="s">
        <v>1284</v>
      </c>
      <c r="F404" s="9" t="s">
        <v>1285</v>
      </c>
      <c r="G404" s="9" t="s">
        <v>14</v>
      </c>
      <c r="H404" s="9" t="s">
        <v>22</v>
      </c>
      <c r="I404" s="9">
        <v>67422181</v>
      </c>
      <c r="J404" s="10">
        <v>45145</v>
      </c>
      <c r="K404" s="9" t="s">
        <v>33</v>
      </c>
      <c r="L404" s="10">
        <v>45512</v>
      </c>
      <c r="M404" s="9"/>
      <c r="N404" s="9"/>
    </row>
    <row r="405" spans="2:14" x14ac:dyDescent="0.25">
      <c r="B405" s="1">
        <v>401</v>
      </c>
      <c r="C405" s="9">
        <v>1728868439</v>
      </c>
      <c r="D405" s="9" t="s">
        <v>1286</v>
      </c>
      <c r="E405" s="9" t="s">
        <v>1287</v>
      </c>
      <c r="F405" s="9" t="s">
        <v>1288</v>
      </c>
      <c r="G405" s="9" t="s">
        <v>14</v>
      </c>
      <c r="H405" s="9" t="s">
        <v>20</v>
      </c>
      <c r="I405" s="9">
        <v>65724891</v>
      </c>
      <c r="J405" s="10">
        <v>44972</v>
      </c>
      <c r="K405" s="9" t="s">
        <v>29</v>
      </c>
      <c r="L405" s="10">
        <v>45512</v>
      </c>
      <c r="M405" s="9" t="s">
        <v>45</v>
      </c>
      <c r="N405" s="9"/>
    </row>
    <row r="406" spans="2:14" x14ac:dyDescent="0.25">
      <c r="B406" s="1">
        <v>402</v>
      </c>
      <c r="C406" s="9">
        <v>1757399306</v>
      </c>
      <c r="D406" s="9" t="s">
        <v>1289</v>
      </c>
      <c r="E406" s="9" t="s">
        <v>1290</v>
      </c>
      <c r="F406" s="9" t="s">
        <v>1291</v>
      </c>
      <c r="G406" s="9" t="s">
        <v>14</v>
      </c>
      <c r="H406" s="9" t="s">
        <v>19</v>
      </c>
      <c r="I406" s="9">
        <v>62806608</v>
      </c>
      <c r="J406" s="10">
        <v>44859</v>
      </c>
      <c r="K406" s="9" t="s">
        <v>29</v>
      </c>
      <c r="L406" s="10">
        <v>45512</v>
      </c>
      <c r="M406" s="9" t="s">
        <v>45</v>
      </c>
      <c r="N406" s="9"/>
    </row>
    <row r="407" spans="2:14" x14ac:dyDescent="0.25">
      <c r="B407" s="1">
        <v>403</v>
      </c>
      <c r="C407" s="9">
        <v>1721304440</v>
      </c>
      <c r="D407" s="9" t="s">
        <v>1292</v>
      </c>
      <c r="E407" s="9" t="s">
        <v>1293</v>
      </c>
      <c r="F407" s="9" t="s">
        <v>1294</v>
      </c>
      <c r="G407" s="9" t="s">
        <v>14</v>
      </c>
      <c r="H407" s="9" t="s">
        <v>24</v>
      </c>
      <c r="I407" s="9">
        <v>69170567</v>
      </c>
      <c r="J407" s="10">
        <v>45055</v>
      </c>
      <c r="K407" s="9" t="s">
        <v>29</v>
      </c>
      <c r="L407" s="10">
        <v>45516</v>
      </c>
      <c r="M407" s="9" t="s">
        <v>45</v>
      </c>
      <c r="N407" s="9"/>
    </row>
    <row r="408" spans="2:14" x14ac:dyDescent="0.25">
      <c r="B408" s="1">
        <v>404</v>
      </c>
      <c r="C408" s="9">
        <v>1754273868</v>
      </c>
      <c r="D408" s="9" t="s">
        <v>1295</v>
      </c>
      <c r="E408" s="9" t="s">
        <v>1296</v>
      </c>
      <c r="F408" s="9" t="s">
        <v>1297</v>
      </c>
      <c r="G408" s="9" t="s">
        <v>14</v>
      </c>
      <c r="H408" s="9" t="s">
        <v>18</v>
      </c>
      <c r="I408" s="9">
        <v>66690327</v>
      </c>
      <c r="J408" s="10">
        <v>44966</v>
      </c>
      <c r="K408" s="9" t="s">
        <v>29</v>
      </c>
      <c r="L408" s="10">
        <v>45516</v>
      </c>
      <c r="M408" s="9" t="s">
        <v>45</v>
      </c>
      <c r="N408" s="9"/>
    </row>
    <row r="409" spans="2:14" x14ac:dyDescent="0.25">
      <c r="B409" s="1">
        <v>405</v>
      </c>
      <c r="C409" s="9">
        <v>1720603370</v>
      </c>
      <c r="D409" s="9" t="s">
        <v>1298</v>
      </c>
      <c r="E409" s="9" t="s">
        <v>1299</v>
      </c>
      <c r="F409" s="9" t="s">
        <v>1300</v>
      </c>
      <c r="G409" s="9" t="s">
        <v>14</v>
      </c>
      <c r="H409" s="9" t="s">
        <v>19</v>
      </c>
      <c r="I409" s="9">
        <v>62198810</v>
      </c>
      <c r="J409" s="10">
        <v>44838</v>
      </c>
      <c r="K409" s="9" t="s">
        <v>29</v>
      </c>
      <c r="L409" s="10">
        <v>45516</v>
      </c>
      <c r="M409" s="9" t="s">
        <v>45</v>
      </c>
      <c r="N409" s="9"/>
    </row>
    <row r="410" spans="2:14" x14ac:dyDescent="0.25">
      <c r="B410" s="1">
        <v>406</v>
      </c>
      <c r="C410" s="9">
        <v>1724044357</v>
      </c>
      <c r="D410" s="9" t="s">
        <v>1301</v>
      </c>
      <c r="E410" s="9" t="s">
        <v>735</v>
      </c>
      <c r="F410" s="9" t="s">
        <v>735</v>
      </c>
      <c r="G410" s="9" t="s">
        <v>14</v>
      </c>
      <c r="H410" s="9" t="s">
        <v>19</v>
      </c>
      <c r="I410" s="9">
        <v>66958963</v>
      </c>
      <c r="J410" s="10">
        <v>44956</v>
      </c>
      <c r="K410" s="9" t="s">
        <v>29</v>
      </c>
      <c r="L410" s="10">
        <v>45517</v>
      </c>
      <c r="M410" s="9" t="s">
        <v>45</v>
      </c>
      <c r="N410" s="9"/>
    </row>
    <row r="411" spans="2:14" x14ac:dyDescent="0.25">
      <c r="B411" s="1">
        <v>407</v>
      </c>
      <c r="C411" s="9">
        <v>1726424540</v>
      </c>
      <c r="D411" s="9" t="s">
        <v>1302</v>
      </c>
      <c r="E411" s="9" t="s">
        <v>735</v>
      </c>
      <c r="F411" s="9" t="s">
        <v>735</v>
      </c>
      <c r="G411" s="9" t="s">
        <v>14</v>
      </c>
      <c r="H411" s="9" t="s">
        <v>18</v>
      </c>
      <c r="I411" s="9">
        <v>67032504</v>
      </c>
      <c r="J411" s="10">
        <v>44993</v>
      </c>
      <c r="K411" s="9" t="s">
        <v>29</v>
      </c>
      <c r="L411" s="10">
        <v>45517</v>
      </c>
      <c r="M411" s="9" t="s">
        <v>45</v>
      </c>
      <c r="N411" s="9"/>
    </row>
    <row r="412" spans="2:14" x14ac:dyDescent="0.25">
      <c r="B412" s="1">
        <v>408</v>
      </c>
      <c r="C412" s="9">
        <v>103753802</v>
      </c>
      <c r="D412" s="9" t="s">
        <v>1303</v>
      </c>
      <c r="E412" s="9" t="s">
        <v>735</v>
      </c>
      <c r="F412" s="9" t="s">
        <v>735</v>
      </c>
      <c r="G412" s="9" t="s">
        <v>14</v>
      </c>
      <c r="H412" s="9" t="s">
        <v>22</v>
      </c>
      <c r="I412" s="9">
        <v>56486983</v>
      </c>
      <c r="J412" s="10">
        <v>44775</v>
      </c>
      <c r="K412" s="9" t="s">
        <v>36</v>
      </c>
      <c r="L412" s="10">
        <v>45505</v>
      </c>
      <c r="M412" s="9" t="s">
        <v>1323</v>
      </c>
      <c r="N412" s="9"/>
    </row>
    <row r="413" spans="2:14" x14ac:dyDescent="0.25">
      <c r="B413" s="1">
        <v>409</v>
      </c>
      <c r="C413" s="9">
        <v>1726649823</v>
      </c>
      <c r="D413" s="9" t="s">
        <v>1304</v>
      </c>
      <c r="E413" s="9" t="s">
        <v>735</v>
      </c>
      <c r="F413" s="9" t="s">
        <v>735</v>
      </c>
      <c r="G413" s="9" t="s">
        <v>14</v>
      </c>
      <c r="H413" s="9" t="s">
        <v>19</v>
      </c>
      <c r="I413" s="9">
        <v>44011707</v>
      </c>
      <c r="J413" s="10">
        <v>44204</v>
      </c>
      <c r="K413" s="9" t="s">
        <v>67</v>
      </c>
      <c r="L413" s="10">
        <v>45519</v>
      </c>
      <c r="M413" s="9" t="s">
        <v>45</v>
      </c>
      <c r="N413" s="9"/>
    </row>
    <row r="414" spans="2:14" x14ac:dyDescent="0.25">
      <c r="B414" s="1">
        <v>410</v>
      </c>
      <c r="C414" s="9" t="s">
        <v>1305</v>
      </c>
      <c r="D414" s="9" t="s">
        <v>1306</v>
      </c>
      <c r="E414" s="9" t="s">
        <v>1307</v>
      </c>
      <c r="F414" s="9" t="s">
        <v>1308</v>
      </c>
      <c r="G414" s="9" t="s">
        <v>14</v>
      </c>
      <c r="H414" s="9" t="s">
        <v>19</v>
      </c>
      <c r="I414" s="9">
        <v>60975560</v>
      </c>
      <c r="J414" s="10">
        <v>44795</v>
      </c>
      <c r="K414" s="9" t="s">
        <v>29</v>
      </c>
      <c r="L414" s="10">
        <v>45519</v>
      </c>
      <c r="M414" s="9" t="s">
        <v>45</v>
      </c>
      <c r="N414" s="9"/>
    </row>
    <row r="415" spans="2:14" x14ac:dyDescent="0.25">
      <c r="B415" s="1">
        <v>411</v>
      </c>
      <c r="C415" s="9" t="s">
        <v>1309</v>
      </c>
      <c r="D415" s="9" t="s">
        <v>1310</v>
      </c>
      <c r="E415" s="9" t="s">
        <v>1307</v>
      </c>
      <c r="F415" s="9" t="s">
        <v>1309</v>
      </c>
      <c r="G415" s="9" t="s">
        <v>14</v>
      </c>
      <c r="H415" s="9" t="s">
        <v>19</v>
      </c>
      <c r="I415" s="9">
        <v>60965934</v>
      </c>
      <c r="J415" s="10">
        <v>44795</v>
      </c>
      <c r="K415" s="9" t="s">
        <v>29</v>
      </c>
      <c r="L415" s="10">
        <v>45519</v>
      </c>
      <c r="M415" s="9" t="s">
        <v>45</v>
      </c>
      <c r="N415" s="9"/>
    </row>
    <row r="416" spans="2:14" x14ac:dyDescent="0.25">
      <c r="B416" s="1">
        <v>412</v>
      </c>
      <c r="C416" s="9" t="s">
        <v>1311</v>
      </c>
      <c r="D416" s="9" t="s">
        <v>1312</v>
      </c>
      <c r="E416" s="9" t="s">
        <v>1307</v>
      </c>
      <c r="F416" s="9" t="s">
        <v>1313</v>
      </c>
      <c r="G416" s="9" t="s">
        <v>14</v>
      </c>
      <c r="H416" s="9" t="s">
        <v>19</v>
      </c>
      <c r="I416" s="9">
        <v>64262936</v>
      </c>
      <c r="J416" s="10">
        <v>44981</v>
      </c>
      <c r="K416" s="9" t="s">
        <v>29</v>
      </c>
      <c r="L416" s="10">
        <v>45519</v>
      </c>
      <c r="M416" s="9" t="s">
        <v>45</v>
      </c>
      <c r="N416" s="9"/>
    </row>
    <row r="417" spans="2:14" x14ac:dyDescent="0.25">
      <c r="B417" s="1">
        <v>413</v>
      </c>
      <c r="C417" s="9">
        <v>1756520282</v>
      </c>
      <c r="D417" s="9" t="s">
        <v>1314</v>
      </c>
      <c r="E417" s="9" t="s">
        <v>1315</v>
      </c>
      <c r="F417" s="9" t="s">
        <v>1316</v>
      </c>
      <c r="G417" s="9" t="s">
        <v>14</v>
      </c>
      <c r="H417" s="9" t="s">
        <v>19</v>
      </c>
      <c r="I417" s="9">
        <v>63626895</v>
      </c>
      <c r="J417" s="10">
        <v>44888</v>
      </c>
      <c r="K417" s="9" t="s">
        <v>29</v>
      </c>
      <c r="L417" s="10">
        <v>45519</v>
      </c>
      <c r="M417" s="9" t="s">
        <v>45</v>
      </c>
      <c r="N417" s="9"/>
    </row>
    <row r="418" spans="2:14" x14ac:dyDescent="0.25">
      <c r="B418" s="1">
        <v>414</v>
      </c>
      <c r="C418" s="9">
        <v>2200175160</v>
      </c>
      <c r="D418" s="9" t="s">
        <v>1317</v>
      </c>
      <c r="E418" s="9" t="s">
        <v>1318</v>
      </c>
      <c r="F418" s="9" t="s">
        <v>1319</v>
      </c>
      <c r="G418" s="9" t="s">
        <v>14</v>
      </c>
      <c r="H418" s="9" t="s">
        <v>19</v>
      </c>
      <c r="I418" s="9">
        <v>61811694</v>
      </c>
      <c r="J418" s="10">
        <v>44826</v>
      </c>
      <c r="K418" s="9" t="s">
        <v>29</v>
      </c>
      <c r="L418" s="10">
        <v>45519</v>
      </c>
      <c r="M418" s="9" t="s">
        <v>45</v>
      </c>
      <c r="N418" s="9"/>
    </row>
    <row r="419" spans="2:14" x14ac:dyDescent="0.25">
      <c r="B419" s="1">
        <v>415</v>
      </c>
      <c r="C419" s="9">
        <v>1717061780</v>
      </c>
      <c r="D419" s="9" t="s">
        <v>1320</v>
      </c>
      <c r="E419" s="9" t="s">
        <v>1321</v>
      </c>
      <c r="F419" s="9" t="s">
        <v>1322</v>
      </c>
      <c r="G419" s="9" t="s">
        <v>14</v>
      </c>
      <c r="H419" s="9" t="s">
        <v>19</v>
      </c>
      <c r="I419" s="9">
        <v>66742216</v>
      </c>
      <c r="J419" s="10">
        <v>44945</v>
      </c>
      <c r="K419" s="9" t="s">
        <v>29</v>
      </c>
      <c r="L419" s="10">
        <v>45520</v>
      </c>
      <c r="M419" s="9" t="s">
        <v>45</v>
      </c>
      <c r="N419" s="9"/>
    </row>
    <row r="420" spans="2:14" x14ac:dyDescent="0.25">
      <c r="B420" s="1">
        <v>416</v>
      </c>
      <c r="C420" s="9">
        <v>1724818198</v>
      </c>
      <c r="D420" s="9" t="s">
        <v>1324</v>
      </c>
      <c r="E420" s="9" t="s">
        <v>1325</v>
      </c>
      <c r="F420" s="9" t="s">
        <v>1326</v>
      </c>
      <c r="G420" s="9" t="s">
        <v>14</v>
      </c>
      <c r="H420" s="9" t="s">
        <v>19</v>
      </c>
      <c r="I420" s="9">
        <v>62787938</v>
      </c>
      <c r="J420" s="10">
        <v>44859</v>
      </c>
      <c r="K420" s="9" t="s">
        <v>29</v>
      </c>
      <c r="L420" s="10">
        <v>45523</v>
      </c>
      <c r="M420" s="9" t="s">
        <v>45</v>
      </c>
      <c r="N420" s="9"/>
    </row>
    <row r="421" spans="2:14" x14ac:dyDescent="0.25">
      <c r="B421" s="1">
        <v>417</v>
      </c>
      <c r="C421" s="9">
        <v>1725331472</v>
      </c>
      <c r="D421" s="9" t="s">
        <v>1327</v>
      </c>
      <c r="E421" s="9" t="s">
        <v>1328</v>
      </c>
      <c r="F421" s="9" t="s">
        <v>1329</v>
      </c>
      <c r="G421" s="9" t="s">
        <v>14</v>
      </c>
      <c r="H421" s="9" t="s">
        <v>19</v>
      </c>
      <c r="I421" s="9">
        <v>66777803</v>
      </c>
      <c r="J421" s="10">
        <v>44979</v>
      </c>
      <c r="K421" s="9" t="s">
        <v>30</v>
      </c>
      <c r="L421" s="10">
        <v>45523</v>
      </c>
      <c r="M421" s="9" t="s">
        <v>45</v>
      </c>
      <c r="N421" s="9"/>
    </row>
    <row r="422" spans="2:14" x14ac:dyDescent="0.25">
      <c r="B422" s="1">
        <v>418</v>
      </c>
      <c r="C422" s="9">
        <v>1725664591</v>
      </c>
      <c r="D422" s="9" t="s">
        <v>1330</v>
      </c>
      <c r="E422" s="9" t="s">
        <v>1331</v>
      </c>
      <c r="F422" s="9" t="s">
        <v>1332</v>
      </c>
      <c r="G422" s="9" t="s">
        <v>14</v>
      </c>
      <c r="H422" s="9" t="s">
        <v>19</v>
      </c>
      <c r="I422" s="9">
        <v>66782238</v>
      </c>
      <c r="J422" s="10">
        <v>44974</v>
      </c>
      <c r="K422" s="9" t="s">
        <v>29</v>
      </c>
      <c r="L422" s="10">
        <v>45523</v>
      </c>
      <c r="M422" s="9" t="s">
        <v>45</v>
      </c>
      <c r="N422" s="9"/>
    </row>
    <row r="423" spans="2:14" x14ac:dyDescent="0.25">
      <c r="B423" s="1">
        <v>419</v>
      </c>
      <c r="C423" s="9">
        <v>1751284561</v>
      </c>
      <c r="D423" s="9" t="s">
        <v>1333</v>
      </c>
      <c r="E423" s="9" t="s">
        <v>1334</v>
      </c>
      <c r="F423" s="9" t="s">
        <v>1335</v>
      </c>
      <c r="G423" s="9" t="s">
        <v>14</v>
      </c>
      <c r="H423" s="9" t="s">
        <v>19</v>
      </c>
      <c r="I423" s="9">
        <v>63352600</v>
      </c>
      <c r="J423" s="10">
        <v>44924</v>
      </c>
      <c r="K423" s="9" t="s">
        <v>32</v>
      </c>
      <c r="L423" s="10">
        <v>45524</v>
      </c>
      <c r="M423" s="9" t="s">
        <v>45</v>
      </c>
      <c r="N423" s="9"/>
    </row>
    <row r="424" spans="2:14" x14ac:dyDescent="0.25">
      <c r="B424" s="1">
        <v>420</v>
      </c>
      <c r="C424" s="9">
        <v>1751369438</v>
      </c>
      <c r="D424" s="9" t="s">
        <v>1336</v>
      </c>
      <c r="E424" s="9" t="s">
        <v>1337</v>
      </c>
      <c r="F424" s="9" t="s">
        <v>1338</v>
      </c>
      <c r="G424" s="9" t="s">
        <v>14</v>
      </c>
      <c r="H424" s="9" t="s">
        <v>19</v>
      </c>
      <c r="I424" s="9">
        <v>60460001</v>
      </c>
      <c r="J424" s="10">
        <v>44776</v>
      </c>
      <c r="K424" s="9" t="s">
        <v>29</v>
      </c>
      <c r="L424" s="10">
        <v>45525</v>
      </c>
      <c r="M424" s="9" t="s">
        <v>45</v>
      </c>
      <c r="N424" s="9"/>
    </row>
    <row r="425" spans="2:14" x14ac:dyDescent="0.25">
      <c r="B425" s="1">
        <v>421</v>
      </c>
      <c r="C425" s="9">
        <v>1104062540</v>
      </c>
      <c r="D425" s="9" t="s">
        <v>1339</v>
      </c>
      <c r="E425" s="9" t="s">
        <v>1341</v>
      </c>
      <c r="F425" s="9" t="s">
        <v>1340</v>
      </c>
      <c r="G425" s="9" t="s">
        <v>14</v>
      </c>
      <c r="H425" s="9" t="s">
        <v>19</v>
      </c>
      <c r="I425" s="9">
        <v>66645151</v>
      </c>
      <c r="J425" s="10">
        <v>44938</v>
      </c>
      <c r="K425" s="9" t="s">
        <v>29</v>
      </c>
      <c r="L425" s="10">
        <v>45525</v>
      </c>
      <c r="M425" s="9" t="s">
        <v>45</v>
      </c>
      <c r="N425" s="9"/>
    </row>
    <row r="426" spans="2:14" x14ac:dyDescent="0.25">
      <c r="B426" s="1">
        <v>422</v>
      </c>
      <c r="C426" s="9">
        <v>1716683550</v>
      </c>
      <c r="D426" s="9" t="s">
        <v>1342</v>
      </c>
      <c r="E426" s="9" t="s">
        <v>1343</v>
      </c>
      <c r="F426" s="9" t="s">
        <v>1344</v>
      </c>
      <c r="G426" s="9" t="s">
        <v>14</v>
      </c>
      <c r="H426" s="9" t="s">
        <v>18</v>
      </c>
      <c r="I426" s="9">
        <v>66888549</v>
      </c>
      <c r="J426" s="10">
        <v>44984</v>
      </c>
      <c r="K426" s="9" t="s">
        <v>29</v>
      </c>
      <c r="L426" s="10">
        <v>45530</v>
      </c>
      <c r="M426" s="9" t="s">
        <v>45</v>
      </c>
      <c r="N426" s="9"/>
    </row>
    <row r="427" spans="2:14" x14ac:dyDescent="0.25">
      <c r="B427" s="1">
        <v>423</v>
      </c>
      <c r="C427" s="9">
        <v>1726925025</v>
      </c>
      <c r="D427" s="9" t="s">
        <v>1345</v>
      </c>
      <c r="E427" s="9" t="s">
        <v>1346</v>
      </c>
      <c r="F427" s="9" t="s">
        <v>1347</v>
      </c>
      <c r="G427" s="9" t="s">
        <v>14</v>
      </c>
      <c r="H427" s="9" t="s">
        <v>22</v>
      </c>
      <c r="I427" s="9">
        <v>65131659</v>
      </c>
      <c r="J427" s="10">
        <v>44918</v>
      </c>
      <c r="K427" s="9" t="s">
        <v>29</v>
      </c>
      <c r="L427" s="10">
        <v>45530</v>
      </c>
      <c r="M427" s="9" t="s">
        <v>45</v>
      </c>
      <c r="N427" s="9"/>
    </row>
    <row r="428" spans="2:14" x14ac:dyDescent="0.25">
      <c r="B428" s="1">
        <v>424</v>
      </c>
      <c r="C428" s="38" t="s">
        <v>1367</v>
      </c>
      <c r="D428" s="9" t="s">
        <v>1348</v>
      </c>
      <c r="E428" s="9" t="s">
        <v>1349</v>
      </c>
      <c r="F428" s="9" t="s">
        <v>1350</v>
      </c>
      <c r="G428" s="9" t="s">
        <v>14</v>
      </c>
      <c r="H428" s="9" t="s">
        <v>19</v>
      </c>
      <c r="I428" s="9">
        <v>67072616</v>
      </c>
      <c r="J428" s="10">
        <v>44991</v>
      </c>
      <c r="K428" s="9" t="s">
        <v>29</v>
      </c>
      <c r="L428" s="10">
        <v>45530</v>
      </c>
      <c r="M428" s="9" t="s">
        <v>45</v>
      </c>
      <c r="N428" s="9"/>
    </row>
    <row r="429" spans="2:14" x14ac:dyDescent="0.25">
      <c r="B429" s="1">
        <v>425</v>
      </c>
      <c r="C429" s="9">
        <v>1004611636</v>
      </c>
      <c r="D429" s="9" t="s">
        <v>1351</v>
      </c>
      <c r="E429" s="9" t="s">
        <v>1352</v>
      </c>
      <c r="F429" s="9" t="s">
        <v>1353</v>
      </c>
      <c r="G429" s="9" t="s">
        <v>14</v>
      </c>
      <c r="H429" s="9" t="s">
        <v>18</v>
      </c>
      <c r="I429" s="9">
        <v>62852662</v>
      </c>
      <c r="J429" s="10">
        <v>44964</v>
      </c>
      <c r="K429" s="9" t="s">
        <v>29</v>
      </c>
      <c r="L429" s="10">
        <v>45530</v>
      </c>
      <c r="M429" s="9" t="s">
        <v>45</v>
      </c>
      <c r="N429" s="9"/>
    </row>
    <row r="430" spans="2:14" x14ac:dyDescent="0.25">
      <c r="B430" s="1">
        <v>426</v>
      </c>
      <c r="C430" s="9">
        <v>1751997832</v>
      </c>
      <c r="D430" s="9" t="s">
        <v>1357</v>
      </c>
      <c r="E430" s="9" t="s">
        <v>1358</v>
      </c>
      <c r="F430" s="9" t="s">
        <v>1359</v>
      </c>
      <c r="G430" s="9" t="s">
        <v>14</v>
      </c>
      <c r="H430" s="9" t="s">
        <v>18</v>
      </c>
      <c r="I430" s="9">
        <v>66042176</v>
      </c>
      <c r="J430" s="10">
        <v>44911</v>
      </c>
      <c r="K430" s="9" t="s">
        <v>29</v>
      </c>
      <c r="L430" s="10">
        <v>45530</v>
      </c>
      <c r="M430" s="9" t="s">
        <v>45</v>
      </c>
      <c r="N430" s="9"/>
    </row>
    <row r="431" spans="2:14" x14ac:dyDescent="0.25">
      <c r="B431" s="1">
        <v>427</v>
      </c>
      <c r="C431" s="9">
        <v>1750953687</v>
      </c>
      <c r="D431" s="9" t="s">
        <v>1360</v>
      </c>
      <c r="E431" s="9" t="s">
        <v>1361</v>
      </c>
      <c r="F431" s="9" t="s">
        <v>1362</v>
      </c>
      <c r="G431" s="9" t="s">
        <v>14</v>
      </c>
      <c r="H431" s="9" t="s">
        <v>19</v>
      </c>
      <c r="I431" s="9">
        <v>68607420</v>
      </c>
      <c r="J431" s="10">
        <v>45082</v>
      </c>
      <c r="K431" s="9" t="s">
        <v>34</v>
      </c>
      <c r="L431" s="10">
        <v>45531</v>
      </c>
      <c r="M431" s="9" t="s">
        <v>45</v>
      </c>
      <c r="N431" s="9"/>
    </row>
    <row r="432" spans="2:14" x14ac:dyDescent="0.25">
      <c r="B432" s="1">
        <v>428</v>
      </c>
      <c r="C432" s="9">
        <v>1758696908</v>
      </c>
      <c r="D432" s="9" t="s">
        <v>1363</v>
      </c>
      <c r="E432" s="9"/>
      <c r="F432" s="9"/>
      <c r="G432" s="9" t="s">
        <v>14</v>
      </c>
      <c r="H432" s="9" t="s">
        <v>19</v>
      </c>
      <c r="I432" s="9">
        <v>62268933</v>
      </c>
      <c r="J432" s="10">
        <v>44848</v>
      </c>
      <c r="K432" s="9" t="s">
        <v>29</v>
      </c>
      <c r="L432" s="10">
        <v>45532</v>
      </c>
      <c r="M432" s="9" t="s">
        <v>45</v>
      </c>
      <c r="N432" s="9"/>
    </row>
    <row r="433" spans="2:14" x14ac:dyDescent="0.25">
      <c r="B433" s="1">
        <v>429</v>
      </c>
      <c r="C433" s="9">
        <v>1706388533</v>
      </c>
      <c r="D433" s="9" t="s">
        <v>1364</v>
      </c>
      <c r="E433" s="9" t="s">
        <v>1365</v>
      </c>
      <c r="F433" s="9" t="s">
        <v>1366</v>
      </c>
      <c r="G433" s="9" t="s">
        <v>15</v>
      </c>
      <c r="H433" s="9" t="s">
        <v>19</v>
      </c>
      <c r="I433" s="9">
        <v>55607077</v>
      </c>
      <c r="J433" s="10">
        <v>44613</v>
      </c>
      <c r="K433" s="9" t="s">
        <v>53</v>
      </c>
      <c r="L433" s="10">
        <v>45532</v>
      </c>
      <c r="M433" s="9" t="s">
        <v>45</v>
      </c>
      <c r="N433" s="9"/>
    </row>
    <row r="434" spans="2:14" x14ac:dyDescent="0.25">
      <c r="B434" s="1">
        <v>430</v>
      </c>
      <c r="C434" s="9">
        <v>1720421930</v>
      </c>
      <c r="D434" s="9" t="s">
        <v>1368</v>
      </c>
      <c r="E434" s="9" t="s">
        <v>1369</v>
      </c>
      <c r="F434" s="9" t="s">
        <v>1370</v>
      </c>
      <c r="G434" s="9" t="s">
        <v>14</v>
      </c>
      <c r="H434" s="9" t="s">
        <v>19</v>
      </c>
      <c r="I434" s="9">
        <v>65034347</v>
      </c>
      <c r="J434" s="10">
        <v>44876</v>
      </c>
      <c r="K434" s="9" t="s">
        <v>30</v>
      </c>
      <c r="L434" s="10">
        <v>45532</v>
      </c>
      <c r="M434" s="9" t="s">
        <v>45</v>
      </c>
      <c r="N434" s="9"/>
    </row>
    <row r="435" spans="2:14" x14ac:dyDescent="0.25">
      <c r="B435" s="1">
        <v>431</v>
      </c>
      <c r="C435" s="9">
        <v>1750272799</v>
      </c>
      <c r="D435" s="9" t="s">
        <v>1371</v>
      </c>
      <c r="E435" s="9" t="s">
        <v>1372</v>
      </c>
      <c r="F435" s="9" t="s">
        <v>1373</v>
      </c>
      <c r="G435" s="9" t="s">
        <v>14</v>
      </c>
      <c r="H435" s="9" t="s">
        <v>18</v>
      </c>
      <c r="I435" s="9">
        <v>65591907</v>
      </c>
      <c r="J435" s="10">
        <v>44985</v>
      </c>
      <c r="K435" s="9" t="s">
        <v>29</v>
      </c>
      <c r="L435" s="10">
        <v>45532</v>
      </c>
      <c r="M435" s="9" t="s">
        <v>45</v>
      </c>
      <c r="N435" s="9"/>
    </row>
    <row r="436" spans="2:14" x14ac:dyDescent="0.25">
      <c r="B436" s="1">
        <v>432</v>
      </c>
      <c r="C436" s="9">
        <v>1726178054</v>
      </c>
      <c r="D436" s="9" t="s">
        <v>1374</v>
      </c>
      <c r="E436" s="9" t="s">
        <v>1375</v>
      </c>
      <c r="F436" s="9" t="s">
        <v>1376</v>
      </c>
      <c r="G436" s="9" t="s">
        <v>14</v>
      </c>
      <c r="H436" s="9" t="s">
        <v>18</v>
      </c>
      <c r="I436" s="9">
        <v>66642827</v>
      </c>
      <c r="J436" s="10">
        <v>44963</v>
      </c>
      <c r="K436" s="9" t="s">
        <v>29</v>
      </c>
      <c r="L436" s="10">
        <v>45538</v>
      </c>
      <c r="M436" s="9" t="s">
        <v>45</v>
      </c>
      <c r="N436" s="9"/>
    </row>
    <row r="437" spans="2:14" x14ac:dyDescent="0.25">
      <c r="B437" s="1">
        <v>433</v>
      </c>
      <c r="C437" s="9">
        <v>1804457255</v>
      </c>
      <c r="D437" s="9" t="s">
        <v>1377</v>
      </c>
      <c r="E437" s="9"/>
      <c r="F437" s="9"/>
      <c r="G437" s="9" t="s">
        <v>14</v>
      </c>
      <c r="H437" s="9" t="s">
        <v>22</v>
      </c>
      <c r="I437" s="9">
        <v>67079391</v>
      </c>
      <c r="J437" s="10">
        <v>44963</v>
      </c>
      <c r="K437" s="9" t="s">
        <v>29</v>
      </c>
      <c r="L437" s="10">
        <v>45539</v>
      </c>
      <c r="M437" s="9" t="s">
        <v>45</v>
      </c>
      <c r="N437" s="9"/>
    </row>
    <row r="438" spans="2:14" x14ac:dyDescent="0.25">
      <c r="B438" s="1">
        <v>434</v>
      </c>
      <c r="C438" s="9">
        <v>1804726204</v>
      </c>
      <c r="D438" s="9" t="s">
        <v>1378</v>
      </c>
      <c r="E438" s="9"/>
      <c r="F438" s="9"/>
      <c r="G438" s="9" t="s">
        <v>14</v>
      </c>
      <c r="H438" s="9" t="s">
        <v>22</v>
      </c>
      <c r="I438" s="9">
        <v>67364578</v>
      </c>
      <c r="J438" s="10">
        <v>44972</v>
      </c>
      <c r="K438" s="9" t="s">
        <v>29</v>
      </c>
      <c r="L438" s="10">
        <v>45539</v>
      </c>
      <c r="M438" s="9" t="s">
        <v>45</v>
      </c>
      <c r="N438" s="9"/>
    </row>
    <row r="439" spans="2:14" x14ac:dyDescent="0.25">
      <c r="B439" s="1">
        <v>435</v>
      </c>
      <c r="C439" s="9">
        <v>1727849976</v>
      </c>
      <c r="D439" s="9" t="s">
        <v>1379</v>
      </c>
      <c r="E439" s="9" t="s">
        <v>1380</v>
      </c>
      <c r="F439" s="9" t="s">
        <v>1381</v>
      </c>
      <c r="G439" s="9" t="s">
        <v>14</v>
      </c>
      <c r="H439" s="9" t="s">
        <v>19</v>
      </c>
      <c r="I439" s="9">
        <v>63099372</v>
      </c>
      <c r="J439" s="10">
        <v>44867</v>
      </c>
      <c r="K439" s="9" t="s">
        <v>29</v>
      </c>
      <c r="L439" s="10">
        <v>45539</v>
      </c>
      <c r="M439" s="9" t="s">
        <v>45</v>
      </c>
      <c r="N439" s="9"/>
    </row>
    <row r="440" spans="2:14" x14ac:dyDescent="0.25">
      <c r="B440" s="1">
        <v>436</v>
      </c>
      <c r="C440" s="9">
        <v>1722646187</v>
      </c>
      <c r="D440" s="9" t="s">
        <v>1382</v>
      </c>
      <c r="E440" s="9"/>
      <c r="F440" s="9"/>
      <c r="G440" s="9" t="s">
        <v>14</v>
      </c>
      <c r="H440" s="9" t="s">
        <v>20</v>
      </c>
      <c r="I440" s="9">
        <v>62518141</v>
      </c>
      <c r="J440" s="10">
        <v>44848</v>
      </c>
      <c r="K440" s="9" t="s">
        <v>29</v>
      </c>
      <c r="L440" s="10">
        <v>45539</v>
      </c>
      <c r="M440" s="9"/>
      <c r="N440" s="9"/>
    </row>
    <row r="441" spans="2:14" x14ac:dyDescent="0.25">
      <c r="B441" s="1">
        <v>437</v>
      </c>
      <c r="C441" s="9">
        <v>1752302131</v>
      </c>
      <c r="D441" s="9" t="s">
        <v>1384</v>
      </c>
      <c r="E441" s="9" t="s">
        <v>1385</v>
      </c>
      <c r="F441" s="9" t="s">
        <v>735</v>
      </c>
      <c r="G441" s="9" t="s">
        <v>14</v>
      </c>
      <c r="H441" s="9" t="s">
        <v>19</v>
      </c>
      <c r="I441" s="9">
        <v>67897842</v>
      </c>
      <c r="J441" s="10">
        <v>44992</v>
      </c>
      <c r="K441" s="9" t="s">
        <v>29</v>
      </c>
      <c r="L441" s="10">
        <v>45539</v>
      </c>
      <c r="M441" s="9" t="s">
        <v>45</v>
      </c>
      <c r="N441" s="9"/>
    </row>
    <row r="442" spans="2:14" x14ac:dyDescent="0.25">
      <c r="B442" s="1">
        <v>438</v>
      </c>
      <c r="C442" s="9">
        <v>1206364166</v>
      </c>
      <c r="D442" s="9" t="s">
        <v>1386</v>
      </c>
      <c r="E442" s="9" t="s">
        <v>1387</v>
      </c>
      <c r="F442" s="9" t="s">
        <v>1388</v>
      </c>
      <c r="G442" s="9" t="s">
        <v>14</v>
      </c>
      <c r="H442" s="9" t="s">
        <v>22</v>
      </c>
      <c r="I442" s="9">
        <v>65210919</v>
      </c>
      <c r="J442" s="10">
        <v>44883</v>
      </c>
      <c r="K442" s="9" t="s">
        <v>29</v>
      </c>
      <c r="L442" s="10">
        <v>45541</v>
      </c>
      <c r="M442" s="9"/>
      <c r="N442" s="9"/>
    </row>
    <row r="443" spans="2:14" x14ac:dyDescent="0.25">
      <c r="B443" s="1">
        <v>439</v>
      </c>
      <c r="C443" s="9">
        <v>1722513528</v>
      </c>
      <c r="D443" s="9" t="s">
        <v>1389</v>
      </c>
      <c r="E443" s="9" t="s">
        <v>1390</v>
      </c>
      <c r="F443" s="9" t="s">
        <v>1391</v>
      </c>
      <c r="G443" s="9" t="s">
        <v>14</v>
      </c>
      <c r="H443" s="9" t="s">
        <v>22</v>
      </c>
      <c r="I443" s="9">
        <v>62459797</v>
      </c>
      <c r="J443" s="10">
        <v>44848</v>
      </c>
      <c r="K443" s="9" t="s">
        <v>29</v>
      </c>
      <c r="L443" s="10">
        <v>45541</v>
      </c>
      <c r="M443" s="9"/>
      <c r="N443" s="9"/>
    </row>
    <row r="444" spans="2:14" x14ac:dyDescent="0.25">
      <c r="B444" s="1">
        <v>440</v>
      </c>
      <c r="C444" s="9">
        <v>1751788611</v>
      </c>
      <c r="D444" s="9" t="s">
        <v>1392</v>
      </c>
      <c r="E444" s="16" t="s">
        <v>1393</v>
      </c>
      <c r="F444" s="9">
        <v>992627223</v>
      </c>
      <c r="G444" s="9" t="s">
        <v>14</v>
      </c>
      <c r="H444" s="9" t="s">
        <v>19</v>
      </c>
      <c r="I444" s="9">
        <v>60686240</v>
      </c>
      <c r="J444" s="10">
        <v>44782</v>
      </c>
      <c r="K444" s="9" t="s">
        <v>29</v>
      </c>
      <c r="L444" s="10">
        <v>45541</v>
      </c>
      <c r="M444" s="9" t="s">
        <v>45</v>
      </c>
      <c r="N444" s="9"/>
    </row>
    <row r="445" spans="2:14" x14ac:dyDescent="0.25">
      <c r="B445" s="1">
        <v>441</v>
      </c>
      <c r="C445" s="9">
        <v>1719591065</v>
      </c>
      <c r="D445" s="9" t="s">
        <v>1394</v>
      </c>
      <c r="E445" s="9" t="s">
        <v>1395</v>
      </c>
      <c r="F445" s="9" t="s">
        <v>1396</v>
      </c>
      <c r="G445" s="9" t="s">
        <v>14</v>
      </c>
      <c r="H445" s="9" t="s">
        <v>19</v>
      </c>
      <c r="I445" s="9">
        <v>66795655</v>
      </c>
      <c r="J445" s="10">
        <v>44987</v>
      </c>
      <c r="K445" s="9" t="s">
        <v>29</v>
      </c>
      <c r="L445" s="10">
        <v>45545</v>
      </c>
      <c r="M445" s="9" t="s">
        <v>45</v>
      </c>
      <c r="N445" s="9"/>
    </row>
    <row r="446" spans="2:14" x14ac:dyDescent="0.25">
      <c r="B446" s="1">
        <v>442</v>
      </c>
      <c r="C446" s="9">
        <v>1722195375</v>
      </c>
      <c r="D446" s="9" t="s">
        <v>1397</v>
      </c>
      <c r="E446" s="9" t="s">
        <v>1398</v>
      </c>
      <c r="F446" s="9" t="s">
        <v>1399</v>
      </c>
      <c r="G446" s="9" t="s">
        <v>14</v>
      </c>
      <c r="H446" s="9" t="s">
        <v>20</v>
      </c>
      <c r="I446" s="9">
        <v>64830004</v>
      </c>
      <c r="J446" s="10">
        <v>44930</v>
      </c>
      <c r="K446" s="9" t="s">
        <v>29</v>
      </c>
      <c r="L446" s="10">
        <v>45545</v>
      </c>
      <c r="M446" s="9"/>
      <c r="N446" s="9"/>
    </row>
    <row r="447" spans="2:14" x14ac:dyDescent="0.25">
      <c r="B447" s="1">
        <v>443</v>
      </c>
      <c r="C447" s="9">
        <v>1753939600</v>
      </c>
      <c r="D447" s="9" t="s">
        <v>1400</v>
      </c>
      <c r="E447" s="9" t="s">
        <v>1401</v>
      </c>
      <c r="F447" s="9" t="s">
        <v>1402</v>
      </c>
      <c r="G447" s="9" t="s">
        <v>14</v>
      </c>
      <c r="H447" s="9" t="s">
        <v>19</v>
      </c>
      <c r="I447" s="9">
        <v>61556471</v>
      </c>
      <c r="J447" s="10">
        <v>44818</v>
      </c>
      <c r="K447" s="9" t="s">
        <v>29</v>
      </c>
      <c r="L447" s="10">
        <v>45545</v>
      </c>
      <c r="M447" s="9" t="s">
        <v>45</v>
      </c>
      <c r="N447" s="9"/>
    </row>
    <row r="448" spans="2:14" x14ac:dyDescent="0.25">
      <c r="B448" s="1">
        <v>444</v>
      </c>
      <c r="C448" s="9">
        <v>1719943696</v>
      </c>
      <c r="D448" s="9" t="s">
        <v>1403</v>
      </c>
      <c r="E448" s="9" t="s">
        <v>1404</v>
      </c>
      <c r="F448" s="9" t="s">
        <v>1405</v>
      </c>
      <c r="G448" s="9" t="s">
        <v>14</v>
      </c>
      <c r="H448" s="9" t="s">
        <v>19</v>
      </c>
      <c r="I448" s="9">
        <v>61053652</v>
      </c>
      <c r="J448" s="10">
        <v>44797</v>
      </c>
      <c r="K448" s="9" t="s">
        <v>29</v>
      </c>
      <c r="L448" s="10">
        <v>45544</v>
      </c>
      <c r="M448" s="9" t="s">
        <v>45</v>
      </c>
      <c r="N448" s="9"/>
    </row>
    <row r="449" spans="2:14" x14ac:dyDescent="0.25">
      <c r="B449" s="1">
        <v>445</v>
      </c>
      <c r="C449" s="9">
        <v>1717258253</v>
      </c>
      <c r="D449" s="9" t="s">
        <v>1406</v>
      </c>
      <c r="E449" s="9" t="s">
        <v>1407</v>
      </c>
      <c r="F449" s="9" t="s">
        <v>1408</v>
      </c>
      <c r="G449" s="9" t="s">
        <v>14</v>
      </c>
      <c r="H449" s="9" t="s">
        <v>19</v>
      </c>
      <c r="I449" s="9">
        <v>58331452</v>
      </c>
      <c r="J449" s="10">
        <v>44973</v>
      </c>
      <c r="K449" s="9" t="s">
        <v>29</v>
      </c>
      <c r="L449" s="10">
        <v>45544</v>
      </c>
      <c r="M449" s="9" t="s">
        <v>45</v>
      </c>
      <c r="N449" s="9"/>
    </row>
    <row r="450" spans="2:14" x14ac:dyDescent="0.25">
      <c r="B450" s="1">
        <v>446</v>
      </c>
      <c r="C450" s="9">
        <v>1709217002</v>
      </c>
      <c r="D450" s="9" t="s">
        <v>1409</v>
      </c>
      <c r="E450" s="9" t="s">
        <v>1410</v>
      </c>
      <c r="F450" s="9" t="s">
        <v>1411</v>
      </c>
      <c r="G450" s="9" t="s">
        <v>257</v>
      </c>
      <c r="H450" s="9" t="s">
        <v>19</v>
      </c>
      <c r="I450" s="9">
        <v>53755128</v>
      </c>
      <c r="J450" s="10">
        <v>44455</v>
      </c>
      <c r="K450" s="9" t="s">
        <v>35</v>
      </c>
      <c r="L450" s="10">
        <v>45544</v>
      </c>
      <c r="M450" s="9" t="s">
        <v>45</v>
      </c>
      <c r="N450" s="9"/>
    </row>
    <row r="451" spans="2:14" x14ac:dyDescent="0.25">
      <c r="B451" s="1">
        <v>447</v>
      </c>
      <c r="C451" s="9">
        <v>1725683385</v>
      </c>
      <c r="D451" s="9" t="s">
        <v>1412</v>
      </c>
      <c r="E451" s="9" t="s">
        <v>1413</v>
      </c>
      <c r="F451" s="9" t="s">
        <v>1414</v>
      </c>
      <c r="G451" s="9" t="s">
        <v>14</v>
      </c>
      <c r="H451" s="9" t="s">
        <v>19</v>
      </c>
      <c r="I451" s="9">
        <v>61534123</v>
      </c>
      <c r="J451" s="10">
        <v>44824</v>
      </c>
      <c r="K451" s="9" t="s">
        <v>29</v>
      </c>
      <c r="L451" s="10">
        <v>45545</v>
      </c>
      <c r="M451" s="9" t="s">
        <v>45</v>
      </c>
      <c r="N451" s="9"/>
    </row>
    <row r="452" spans="2:14" x14ac:dyDescent="0.25">
      <c r="B452" s="1">
        <v>448</v>
      </c>
      <c r="C452" s="9">
        <v>1715691596</v>
      </c>
      <c r="D452" s="9" t="s">
        <v>1415</v>
      </c>
      <c r="E452" s="9" t="s">
        <v>1416</v>
      </c>
      <c r="F452" s="9" t="s">
        <v>1417</v>
      </c>
      <c r="G452" s="9" t="s">
        <v>14</v>
      </c>
      <c r="H452" s="9" t="s">
        <v>18</v>
      </c>
      <c r="I452" s="9">
        <v>66350128</v>
      </c>
      <c r="J452" s="10">
        <v>44939</v>
      </c>
      <c r="K452" s="9" t="s">
        <v>29</v>
      </c>
      <c r="L452" s="10">
        <v>45545</v>
      </c>
      <c r="M452" s="9" t="s">
        <v>45</v>
      </c>
      <c r="N452" s="9"/>
    </row>
    <row r="453" spans="2:14" x14ac:dyDescent="0.25">
      <c r="B453" s="1">
        <v>449</v>
      </c>
      <c r="C453" s="9">
        <v>1726198714</v>
      </c>
      <c r="D453" s="9" t="s">
        <v>1418</v>
      </c>
      <c r="E453" s="9" t="s">
        <v>1419</v>
      </c>
      <c r="F453" s="9" t="s">
        <v>1420</v>
      </c>
      <c r="G453" s="9" t="s">
        <v>14</v>
      </c>
      <c r="H453" s="9" t="s">
        <v>19</v>
      </c>
      <c r="I453" s="9">
        <v>68267019</v>
      </c>
      <c r="J453" s="10">
        <v>45028</v>
      </c>
      <c r="K453" s="9" t="s">
        <v>29</v>
      </c>
      <c r="L453" s="10">
        <v>45546</v>
      </c>
      <c r="M453" s="9" t="s">
        <v>45</v>
      </c>
      <c r="N453" s="9"/>
    </row>
    <row r="454" spans="2:14" x14ac:dyDescent="0.25">
      <c r="B454" s="1"/>
      <c r="C454" s="32">
        <v>1721681383</v>
      </c>
      <c r="D454" s="32" t="s">
        <v>1354</v>
      </c>
      <c r="E454" s="32" t="s">
        <v>1355</v>
      </c>
      <c r="F454" s="32" t="s">
        <v>1356</v>
      </c>
      <c r="G454" s="32" t="s">
        <v>15</v>
      </c>
      <c r="H454" s="32" t="s">
        <v>19</v>
      </c>
      <c r="I454" s="32">
        <v>39335691</v>
      </c>
      <c r="J454" s="33">
        <v>43882</v>
      </c>
      <c r="K454" s="32" t="s">
        <v>31</v>
      </c>
      <c r="L454" s="33">
        <v>45530</v>
      </c>
      <c r="M454" s="32" t="s">
        <v>45</v>
      </c>
      <c r="N454" s="9"/>
    </row>
    <row r="455" spans="2:14" x14ac:dyDescent="0.25">
      <c r="B455" s="1"/>
      <c r="C455" s="32" t="s">
        <v>1060</v>
      </c>
      <c r="D455" s="32" t="s">
        <v>1061</v>
      </c>
      <c r="E455" s="32"/>
      <c r="F455" s="32" t="s">
        <v>1062</v>
      </c>
      <c r="G455" s="32" t="s">
        <v>14</v>
      </c>
      <c r="H455" s="32" t="s">
        <v>19</v>
      </c>
      <c r="I455" s="32">
        <v>68038461</v>
      </c>
      <c r="J455" s="33">
        <v>44994</v>
      </c>
      <c r="K455" s="32" t="s">
        <v>29</v>
      </c>
      <c r="L455" s="33">
        <v>45460</v>
      </c>
      <c r="M455" s="32" t="s">
        <v>45</v>
      </c>
      <c r="N455" t="s">
        <v>1077</v>
      </c>
    </row>
    <row r="456" spans="2:14" x14ac:dyDescent="0.25">
      <c r="B456" s="1"/>
      <c r="C456" s="32" t="s">
        <v>1054</v>
      </c>
      <c r="D456" s="32" t="s">
        <v>1055</v>
      </c>
      <c r="E456" s="32"/>
      <c r="F456" s="32"/>
      <c r="G456" s="32" t="s">
        <v>15</v>
      </c>
      <c r="H456" s="32" t="s">
        <v>18</v>
      </c>
      <c r="I456" s="32">
        <v>70493495</v>
      </c>
      <c r="J456" s="33">
        <v>45198</v>
      </c>
      <c r="K456" s="32" t="s">
        <v>33</v>
      </c>
      <c r="L456" s="33">
        <v>45457</v>
      </c>
      <c r="M456" s="32" t="s">
        <v>45</v>
      </c>
    </row>
    <row r="457" spans="2:14" x14ac:dyDescent="0.25">
      <c r="B457" s="1"/>
      <c r="C457" s="32" t="s">
        <v>1003</v>
      </c>
      <c r="D457" s="32" t="s">
        <v>1004</v>
      </c>
      <c r="E457" s="34" t="s">
        <v>1005</v>
      </c>
      <c r="F457" s="32" t="s">
        <v>1006</v>
      </c>
      <c r="G457" s="32" t="s">
        <v>14</v>
      </c>
      <c r="H457" s="32" t="s">
        <v>20</v>
      </c>
      <c r="I457" s="32">
        <v>68725053</v>
      </c>
      <c r="J457" s="33">
        <v>45019</v>
      </c>
      <c r="K457" s="32" t="s">
        <v>29</v>
      </c>
      <c r="L457" s="33">
        <v>45453</v>
      </c>
      <c r="M457" s="32" t="s">
        <v>45</v>
      </c>
    </row>
    <row r="458" spans="2:14" x14ac:dyDescent="0.25">
      <c r="B458" s="1"/>
      <c r="C458" s="32" t="s">
        <v>953</v>
      </c>
      <c r="D458" s="32" t="s">
        <v>954</v>
      </c>
      <c r="E458" s="32" t="s">
        <v>955</v>
      </c>
      <c r="F458" s="32" t="s">
        <v>956</v>
      </c>
      <c r="G458" s="32" t="s">
        <v>14</v>
      </c>
      <c r="H458" s="32" t="s">
        <v>22</v>
      </c>
      <c r="I458" s="32">
        <v>76119569</v>
      </c>
      <c r="J458" s="33">
        <v>45273</v>
      </c>
      <c r="K458" s="32" t="s">
        <v>53</v>
      </c>
      <c r="L458" s="33">
        <v>45435</v>
      </c>
      <c r="M458" s="32" t="s">
        <v>45</v>
      </c>
    </row>
    <row r="459" spans="2:14" x14ac:dyDescent="0.25">
      <c r="B459">
        <f>SUBTOTAL(103,Tabla1[Nro.])</f>
        <v>451</v>
      </c>
      <c r="J459" s="11"/>
      <c r="L459" s="11"/>
    </row>
    <row r="460" spans="2:14" x14ac:dyDescent="0.25">
      <c r="C460">
        <v>449</v>
      </c>
    </row>
  </sheetData>
  <conditionalFormatting sqref="B430:M458">
    <cfRule type="expression" dxfId="2" priority="10">
      <formula>$B430=$C$460</formula>
    </cfRule>
  </conditionalFormatting>
  <hyperlinks>
    <hyperlink ref="E95" r:id="rId1" xr:uid="{00000000-0004-0000-0100-000000000000}"/>
    <hyperlink ref="E113" r:id="rId2" xr:uid="{00000000-0004-0000-0100-000001000000}"/>
    <hyperlink ref="E136" r:id="rId3" xr:uid="{00000000-0004-0000-0100-000002000000}"/>
    <hyperlink ref="E337" r:id="rId4" xr:uid="{00000000-0004-0000-0100-000003000000}"/>
    <hyperlink ref="E312" r:id="rId5" xr:uid="{00000000-0004-0000-0100-000004000000}"/>
    <hyperlink ref="E315" r:id="rId6" xr:uid="{00000000-0004-0000-0100-000005000000}"/>
    <hyperlink ref="E457" r:id="rId7" xr:uid="{00000000-0004-0000-0100-000006000000}"/>
    <hyperlink ref="E333" r:id="rId8" xr:uid="{00000000-0004-0000-0100-000007000000}"/>
    <hyperlink ref="E368" r:id="rId9" xr:uid="{00000000-0004-0000-0100-000008000000}"/>
    <hyperlink ref="E444" r:id="rId10" xr:uid="{53224B20-74AA-4833-BD70-A75095EFBC52}"/>
  </hyperlinks>
  <pageMargins left="0.7" right="0.7" top="0.75" bottom="0.75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" name="Scroll Bar 1">
              <controlPr defaultSiz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104775</xdr:colOff>
                    <xdr:row>465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23"/>
  <sheetViews>
    <sheetView topLeftCell="A2" workbookViewId="0">
      <selection activeCell="C24" sqref="C24"/>
    </sheetView>
  </sheetViews>
  <sheetFormatPr baseColWidth="10" defaultRowHeight="15" x14ac:dyDescent="0.25"/>
  <cols>
    <col min="1" max="1" width="36.85546875" bestFit="1" customWidth="1"/>
    <col min="2" max="2" width="24.7109375" bestFit="1" customWidth="1"/>
  </cols>
  <sheetData>
    <row r="1" spans="1:4" x14ac:dyDescent="0.25">
      <c r="A1" s="4" t="s">
        <v>13</v>
      </c>
      <c r="B1" s="4" t="s">
        <v>17</v>
      </c>
      <c r="C1" s="4" t="s">
        <v>28</v>
      </c>
      <c r="D1" s="4" t="s">
        <v>39</v>
      </c>
    </row>
    <row r="2" spans="1:4" x14ac:dyDescent="0.25">
      <c r="A2" t="s">
        <v>14</v>
      </c>
      <c r="B2" t="s">
        <v>18</v>
      </c>
      <c r="C2" t="s">
        <v>29</v>
      </c>
      <c r="D2" t="s">
        <v>45</v>
      </c>
    </row>
    <row r="3" spans="1:4" x14ac:dyDescent="0.25">
      <c r="A3" t="s">
        <v>15</v>
      </c>
      <c r="B3" t="s">
        <v>19</v>
      </c>
      <c r="C3" t="s">
        <v>30</v>
      </c>
      <c r="D3" t="s">
        <v>41</v>
      </c>
    </row>
    <row r="4" spans="1:4" x14ac:dyDescent="0.25">
      <c r="A4" t="s">
        <v>16</v>
      </c>
      <c r="B4" t="s">
        <v>20</v>
      </c>
      <c r="C4" t="s">
        <v>31</v>
      </c>
      <c r="D4" t="s">
        <v>40</v>
      </c>
    </row>
    <row r="5" spans="1:4" x14ac:dyDescent="0.25">
      <c r="A5" t="s">
        <v>181</v>
      </c>
      <c r="B5" t="s">
        <v>21</v>
      </c>
      <c r="C5" t="s">
        <v>33</v>
      </c>
      <c r="D5" t="s">
        <v>42</v>
      </c>
    </row>
    <row r="6" spans="1:4" x14ac:dyDescent="0.25">
      <c r="A6" t="s">
        <v>44</v>
      </c>
      <c r="B6" t="s">
        <v>22</v>
      </c>
      <c r="C6" t="s">
        <v>53</v>
      </c>
      <c r="D6" t="s">
        <v>43</v>
      </c>
    </row>
    <row r="7" spans="1:4" x14ac:dyDescent="0.25">
      <c r="A7" t="s">
        <v>257</v>
      </c>
      <c r="B7" t="s">
        <v>23</v>
      </c>
      <c r="C7" t="s">
        <v>57</v>
      </c>
      <c r="D7" t="s">
        <v>298</v>
      </c>
    </row>
    <row r="8" spans="1:4" x14ac:dyDescent="0.25">
      <c r="B8" t="s">
        <v>24</v>
      </c>
      <c r="C8" t="s">
        <v>67</v>
      </c>
      <c r="D8" t="s">
        <v>303</v>
      </c>
    </row>
    <row r="9" spans="1:4" x14ac:dyDescent="0.25">
      <c r="B9" t="s">
        <v>25</v>
      </c>
      <c r="C9" t="s">
        <v>32</v>
      </c>
    </row>
    <row r="10" spans="1:4" x14ac:dyDescent="0.25">
      <c r="B10" t="s">
        <v>26</v>
      </c>
      <c r="C10" t="s">
        <v>34</v>
      </c>
    </row>
    <row r="11" spans="1:4" x14ac:dyDescent="0.25">
      <c r="B11" t="s">
        <v>27</v>
      </c>
      <c r="C11" t="s">
        <v>35</v>
      </c>
    </row>
    <row r="12" spans="1:4" x14ac:dyDescent="0.25">
      <c r="C12" t="s">
        <v>36</v>
      </c>
    </row>
    <row r="13" spans="1:4" x14ac:dyDescent="0.25">
      <c r="C13" t="s">
        <v>50</v>
      </c>
    </row>
    <row r="14" spans="1:4" x14ac:dyDescent="0.25">
      <c r="C14" t="s">
        <v>48</v>
      </c>
    </row>
    <row r="15" spans="1:4" x14ac:dyDescent="0.25">
      <c r="C15" t="s">
        <v>49</v>
      </c>
    </row>
    <row r="16" spans="1:4" x14ac:dyDescent="0.25">
      <c r="C16" t="s">
        <v>244</v>
      </c>
    </row>
    <row r="17" spans="3:3" x14ac:dyDescent="0.25">
      <c r="C17" t="s">
        <v>235</v>
      </c>
    </row>
    <row r="18" spans="3:3" x14ac:dyDescent="0.25">
      <c r="C18" t="s">
        <v>51</v>
      </c>
    </row>
    <row r="19" spans="3:3" x14ac:dyDescent="0.25">
      <c r="C19" t="s">
        <v>52</v>
      </c>
    </row>
    <row r="20" spans="3:3" x14ac:dyDescent="0.25">
      <c r="C20" t="s">
        <v>590</v>
      </c>
    </row>
    <row r="21" spans="3:3" x14ac:dyDescent="0.25">
      <c r="C21" t="s">
        <v>446</v>
      </c>
    </row>
    <row r="22" spans="3:3" x14ac:dyDescent="0.25">
      <c r="C22" t="s">
        <v>910</v>
      </c>
    </row>
    <row r="23" spans="3:3" x14ac:dyDescent="0.25">
      <c r="C23" t="s">
        <v>948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D10"/>
  <sheetViews>
    <sheetView workbookViewId="0">
      <selection activeCell="C10" sqref="C10"/>
    </sheetView>
  </sheetViews>
  <sheetFormatPr baseColWidth="10" defaultRowHeight="15" x14ac:dyDescent="0.25"/>
  <cols>
    <col min="2" max="2" width="22.42578125" bestFit="1" customWidth="1"/>
    <col min="3" max="3" width="36.85546875" bestFit="1" customWidth="1"/>
    <col min="4" max="4" width="7.7109375" bestFit="1" customWidth="1"/>
  </cols>
  <sheetData>
    <row r="2" spans="1:4" ht="31.5" x14ac:dyDescent="0.5">
      <c r="A2" s="1" t="s">
        <v>141</v>
      </c>
      <c r="B2" s="17">
        <f>DataBase!C460</f>
        <v>449</v>
      </c>
    </row>
    <row r="3" spans="1:4" x14ac:dyDescent="0.25">
      <c r="B3" s="18" t="s">
        <v>37</v>
      </c>
      <c r="C3" s="19">
        <f>VLOOKUP(B2,DataBase!B3:M458,1,FALSE)</f>
        <v>449</v>
      </c>
      <c r="D3" s="22" t="s">
        <v>142</v>
      </c>
    </row>
    <row r="4" spans="1:4" x14ac:dyDescent="0.25">
      <c r="B4" s="18" t="s">
        <v>3</v>
      </c>
      <c r="C4" s="20">
        <f>VLOOKUP(B2,DataBase!B3:M458,2,FALSE)</f>
        <v>1726198714</v>
      </c>
      <c r="D4" s="22" t="s">
        <v>145</v>
      </c>
    </row>
    <row r="5" spans="1:4" x14ac:dyDescent="0.25">
      <c r="B5" s="18" t="s">
        <v>4</v>
      </c>
      <c r="C5" s="20" t="str">
        <f>VLOOKUP(B2,DataBase!B3:M458,3,FALSE)</f>
        <v>BORJA TADEO YANDRY YAIR</v>
      </c>
      <c r="D5" s="22" t="s">
        <v>143</v>
      </c>
    </row>
    <row r="6" spans="1:4" x14ac:dyDescent="0.25">
      <c r="B6" s="18" t="s">
        <v>7</v>
      </c>
      <c r="C6" s="20" t="str">
        <f>VLOOKUP(B2,DataBase!B3:M458,6,FALSE)</f>
        <v>EMISIÓN DE LICENCIA POR PRIMERA VEZ</v>
      </c>
      <c r="D6" s="22" t="s">
        <v>146</v>
      </c>
    </row>
    <row r="7" spans="1:4" x14ac:dyDescent="0.25">
      <c r="B7" s="18" t="s">
        <v>8</v>
      </c>
      <c r="C7" s="20" t="str">
        <f>VLOOKUP(B2,DataBase!B3:M458,7,FALSE)</f>
        <v>B</v>
      </c>
      <c r="D7" s="22" t="s">
        <v>144</v>
      </c>
    </row>
    <row r="8" spans="1:4" x14ac:dyDescent="0.25">
      <c r="B8" s="18" t="s">
        <v>9</v>
      </c>
      <c r="C8" s="19">
        <f>VLOOKUP(B2,DataBase!B3:M458,8,FALSE)</f>
        <v>68267019</v>
      </c>
      <c r="D8" s="22" t="s">
        <v>147</v>
      </c>
    </row>
    <row r="9" spans="1:4" x14ac:dyDescent="0.25">
      <c r="B9" s="18" t="s">
        <v>11</v>
      </c>
      <c r="C9" s="21">
        <f>VLOOKUP(B2,DataBase!B3:M458,9,FALSE)</f>
        <v>45028</v>
      </c>
      <c r="D9" s="22" t="s">
        <v>148</v>
      </c>
    </row>
    <row r="10" spans="1:4" x14ac:dyDescent="0.25">
      <c r="B10" s="18" t="s">
        <v>10</v>
      </c>
      <c r="C10" s="20" t="str">
        <f>VLOOKUP(B2,DataBase!B3:M458,10,FALSE)</f>
        <v>HGUERRERO</v>
      </c>
      <c r="D10" s="22" t="s">
        <v>149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Form</vt:lpstr>
      <vt:lpstr>DataBase</vt:lpstr>
      <vt:lpstr>Lists</vt:lpstr>
      <vt:lpstr>Enviar</vt:lpstr>
      <vt:lpstr>Form!Área_de_impresión</vt:lpstr>
      <vt:lpstr>Form!CEDULA</vt:lpstr>
      <vt:lpstr>Form!FECHA</vt:lpstr>
      <vt:lpstr>Form!TRAMITE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Mauricio Ochoa</dc:creator>
  <cp:lastModifiedBy>Mauricio Ruben Ochoa Calderon</cp:lastModifiedBy>
  <cp:lastPrinted>2024-09-13T19:55:42Z</cp:lastPrinted>
  <dcterms:created xsi:type="dcterms:W3CDTF">2024-01-31T20:40:21Z</dcterms:created>
  <dcterms:modified xsi:type="dcterms:W3CDTF">2024-09-13T20:48:38Z</dcterms:modified>
</cp:coreProperties>
</file>